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eia_Primeiro" sheetId="1" state="visible" r:id="rId1"/>
    <sheet name="02_Entrada_Global" sheetId="2" state="visible" r:id="rId2"/>
    <sheet name="03_Inicio" sheetId="3" state="visible" r:id="rId3"/>
    <sheet name="04_Velocidade" sheetId="4" state="visible" r:id="rId4"/>
    <sheet name="05_Sinal" sheetId="5" state="visible" r:id="rId5"/>
    <sheet name="06_Historico" sheetId="6" state="visible" r:id="rId6"/>
    <sheet name="07_Perfil_Ferramentas" sheetId="7" state="visible" r:id="rId7"/>
    <sheet name="08_Overlays_Detalhes" sheetId="8" state="visible" r:id="rId8"/>
    <sheet name="09_Fluxos_E2E" sheetId="9" state="visible" r:id="rId9"/>
    <sheet name="10_Tokens_Design" sheetId="10" state="visible" r:id="rId10"/>
    <sheet name="11_Bugs_GitHub" sheetId="11" state="visible" r:id="rId11"/>
    <sheet name="12_ADB_Comandos" sheetId="12" state="visible" r:id="rId12"/>
    <sheet name="01_Resumo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rlito"/>
      <sz val="11"/>
    </font>
    <font>
      <name val="Carlito"/>
      <b val="1"/>
      <color rgb="FFFFFFFF"/>
      <sz val="18"/>
    </font>
    <font>
      <name val="Carlito"/>
      <i val="1"/>
      <color rgb="FF210A5C"/>
      <sz val="10"/>
    </font>
    <font>
      <name val="Carlito"/>
      <b val="1"/>
      <color rgb="FF210A5C"/>
      <sz val="11"/>
    </font>
    <font>
      <name val="Carlito"/>
      <b val="1"/>
      <color rgb="FFFFFFFF"/>
      <sz val="10"/>
    </font>
    <font>
      <name val="Carlito"/>
      <color rgb="FF1C1B1F"/>
      <sz val="9"/>
    </font>
    <font>
      <name val="Carlito"/>
      <b val="1"/>
      <color rgb="FF1C1B1F"/>
      <sz val="9"/>
    </font>
    <font>
      <name val="Carlito"/>
      <b val="1"/>
      <color rgb="FF8A5000"/>
      <sz val="9"/>
    </font>
    <font>
      <name val="Carlito"/>
      <b val="1"/>
      <color rgb="FF210A5C"/>
      <sz val="9"/>
    </font>
    <font>
      <name val="Consolas"/>
      <color rgb="FF210A5C"/>
      <sz val="9"/>
    </font>
    <font>
      <name val="Carlito"/>
      <b val="1"/>
      <color rgb="FF146C2E"/>
      <sz val="11"/>
    </font>
    <font>
      <name val="Carlito"/>
      <b val="1"/>
      <color rgb="FFBA1A1A"/>
      <sz val="11"/>
    </font>
    <font>
      <name val="Carlito"/>
      <b val="1"/>
      <color rgb="FF8A5000"/>
      <sz val="11"/>
    </font>
  </fonts>
  <fills count="8">
    <fill>
      <patternFill/>
    </fill>
    <fill>
      <patternFill patternType="gray125"/>
    </fill>
    <fill>
      <patternFill patternType="solid">
        <fgColor rgb="FF5B21D6"/>
      </patternFill>
    </fill>
    <fill>
      <patternFill patternType="solid">
        <fgColor rgb="FFEAE0FF"/>
      </patternFill>
    </fill>
    <fill>
      <patternFill patternType="solid">
        <fgColor rgb="FF210A5C"/>
      </patternFill>
    </fill>
    <fill>
      <patternFill patternType="solid">
        <fgColor rgb="FFFFDDB3"/>
      </patternFill>
    </fill>
    <fill>
      <patternFill patternType="solid">
        <fgColor rgb="FFB6F2BE"/>
      </patternFill>
    </fill>
    <fill>
      <patternFill patternType="solid">
        <fgColor rgb="FFFFDAD6"/>
      </patternFill>
    </fill>
  </fills>
  <borders count="2">
    <border/>
    <border/>
  </borders>
  <cellStyleXfs count="1">
    <xf numFmtId="0" fontId="0" fillId="0" borderId="1"/>
  </cellStyleXfs>
  <cellXfs count="8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0" fontId="0" fillId="6" borderId="0" pivotButton="0" quotePrefix="0" xfId="0"/>
    <xf numFmtId="0" fontId="10" fillId="6" borderId="0" pivotButton="0" quotePrefix="0" xfId="0"/>
    <xf numFmtId="0" fontId="0" fillId="6" borderId="1" pivotButton="0" quotePrefix="0" xfId="0"/>
    <xf numFmtId="0" fontId="10" fillId="6" borderId="1" pivotButton="0" quotePrefix="0" xfId="0"/>
    <xf numFmtId="0" fontId="0" fillId="7" borderId="0" pivotButton="0" quotePrefix="0" xfId="0"/>
    <xf numFmtId="0" fontId="11" fillId="7" borderId="0" pivotButton="0" quotePrefix="0" xfId="0"/>
    <xf numFmtId="0" fontId="0" fillId="7" borderId="1" pivotButton="0" quotePrefix="0" xfId="0"/>
    <xf numFmtId="0" fontId="11" fillId="7" borderId="1" pivotButton="0" quotePrefix="0" xfId="0"/>
    <xf numFmtId="0" fontId="0" fillId="5" borderId="0" pivotButton="0" quotePrefix="0" xfId="0"/>
    <xf numFmtId="0" fontId="12" fillId="5" borderId="0" pivotButton="0" quotePrefix="0" xfId="0"/>
    <xf numFmtId="0" fontId="0" fillId="5" borderId="1" pivotButton="0" quotePrefix="0" xfId="0"/>
    <xf numFmtId="0" fontId="12" fillId="5" borderId="1" pivotButton="0" quotePrefix="0" xfId="0"/>
    <xf numFmtId="164" fontId="5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164" fontId="5" fillId="0" borderId="0" applyAlignment="1" pivotButton="0" quotePrefix="0" xfId="0">
      <alignment vertical="top" wrapText="1"/>
    </xf>
  </cellXfs>
  <cellStyles count="1">
    <cellStyle name="Normal" xfId="0"/>
  </cellStyles>
  <dxfs count="60"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2851B8"/>
      </font>
      <fill>
        <patternFill>
          <bgColor rgb="FFDCE6FF"/>
        </patternFill>
      </fill>
    </dxf>
    <dxf>
      <font>
        <color rgb="FF49454F"/>
      </font>
      <fill>
        <patternFill>
          <bgColor rgb="FFE6E0E9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8A5000"/>
      </font>
      <fill>
        <patternFill>
          <bgColor rgb="FFFFDDB3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  <dxf>
      <font>
        <b val="1"/>
        <color rgb="FF146C2E"/>
      </font>
      <fill>
        <patternFill>
          <bgColor rgb="FFB6F2BE"/>
        </patternFill>
      </fill>
    </dxf>
    <dxf>
      <font>
        <b val="1"/>
        <color rgb="FFBA1A1A"/>
      </font>
      <fill>
        <patternFill>
          <bgColor rgb="FFFFDA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Distribuição de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>
              <a:prstDash val="solid"/>
            </a:ln>
          </spPr>
          <cat>
            <strRef>
              <f>'01_Resumo'!$A$5:$A$11</f>
              <strCache>
                <ptCount val="0"/>
              </strCache>
            </strRef>
          </cat>
          <val>
            <numRef>
              <f>'01_Resumo'!$B$5:$B$11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3</row>
      <rowOff>0</rowOff>
    </from>
    <to>
      <col>11</col>
      <colOff>0</colOff>
      <row>14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02EntradaGlobalTable" displayName="02EntradaGlobalTable" ref="A4:U31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2.xml><?xml version="1.0" encoding="utf-8"?>
<table xmlns="http://schemas.openxmlformats.org/spreadsheetml/2006/main" id="2" name="03InicioTable" displayName="03InicioTable" ref="A4:U25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3.xml><?xml version="1.0" encoding="utf-8"?>
<table xmlns="http://schemas.openxmlformats.org/spreadsheetml/2006/main" id="3" name="04VelocidadeTable" displayName="04VelocidadeTable" ref="A4:U28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4.xml><?xml version="1.0" encoding="utf-8"?>
<table xmlns="http://schemas.openxmlformats.org/spreadsheetml/2006/main" id="4" name="05SinalTable" displayName="05SinalTable" ref="A4:U25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5.xml><?xml version="1.0" encoding="utf-8"?>
<table xmlns="http://schemas.openxmlformats.org/spreadsheetml/2006/main" id="5" name="06HistoricoTable" displayName="06HistoricoTable" ref="A4:U19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6.xml><?xml version="1.0" encoding="utf-8"?>
<table xmlns="http://schemas.openxmlformats.org/spreadsheetml/2006/main" id="6" name="07PerfilFerramentasTable" displayName="07PerfilFerramentasTable" ref="A4:U28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7.xml><?xml version="1.0" encoding="utf-8"?>
<table xmlns="http://schemas.openxmlformats.org/spreadsheetml/2006/main" id="7" name="08OverlaysDetalhesTable" displayName="08OverlaysDetalhesTable" ref="A4:U36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8.xml><?xml version="1.0" encoding="utf-8"?>
<table xmlns="http://schemas.openxmlformats.org/spreadsheetml/2006/main" id="8" name="09FluxosE2ETable" displayName="09FluxosE2ETable" ref="A4:U18" headerRowCount="1">
  <tableColumns count="21">
    <tableColumn id="1" name="Ordem"/>
    <tableColumn id="2" name="ID"/>
    <tableColumn id="3" name="Tela / componente"/>
    <tableColumn id="4" name="Estado / cenário"/>
    <tableColumn id="5" name="Categoria"/>
    <tableColumn id="6" name="Prioridade"/>
    <tableColumn id="7" name="Pré-condições"/>
    <tableColumn id="8" name="Passo a passo"/>
    <tableColumn id="9" name="Resultado esperado"/>
    <tableColumn id="10" name="Referência design / código"/>
    <tableColumn id="11" name="Ação / alvo"/>
    <tableColumn id="12" name="X base 390"/>
    <tableColumn id="13" name="Y base 820"/>
    <tableColumn id="14" name="X device"/>
    <tableColumn id="15" name="Y device"/>
    <tableColumn id="16" name="Seletor preferencial"/>
    <tableColumn id="17" name="Evidência esperada"/>
    <tableColumn id="18" name="Status"/>
    <tableColumn id="19" name="Bug GitHub"/>
    <tableColumn id="20" name="Observações"/>
    <tableColumn id="21" name="Bloqueador / dependência"/>
  </tableColumns>
  <tableStyleInfo name="TableStyleMedium2" showRowStripes="1"/>
</table>
</file>

<file path=xl/tables/table9.xml><?xml version="1.0" encoding="utf-8"?>
<table xmlns="http://schemas.openxmlformats.org/spreadsheetml/2006/main" id="9" name="DesignTokensTable" displayName="DesignTokensTable" ref="A4:J31" headerRowCount="1">
  <tableColumns count="10">
    <tableColumn id="1" name="ID"/>
    <tableColumn id="2" name="Grupo"/>
    <tableColumn id="3" name="Token / regra"/>
    <tableColumn id="4" name="Claro esperado"/>
    <tableColumn id="5" name="Escuro esperado"/>
    <tableColumn id="6" name="Como validar"/>
    <tableColumn id="7" name="Telas mínimas"/>
    <tableColumn id="8" name="Prioridade"/>
    <tableColumn id="9" name="Status"/>
    <tableColumn id="10" name="Observações"/>
  </tableColumns>
  <tableStyleInfo name="TableStyleMedium2" showRowStripes="1"/>
</table>
</file>

<file path=xl/tables/table10.xml><?xml version="1.0" encoding="utf-8"?>
<table xmlns="http://schemas.openxmlformats.org/spreadsheetml/2006/main" id="10" name="BugQueueTable" displayName="BugQueueTable" ref="A4:N34" headerRowCount="1">
  <tableColumns count="14">
    <tableColumn id="1" name="Ordem"/>
    <tableColumn id="2" name="IDs de teste"/>
    <tableColumn id="3" name="Tela"/>
    <tableColumn id="4" name="Resumo do defeito"/>
    <tableColumn id="5" name="Severidade"/>
    <tableColumn id="6" name="Reprodução"/>
    <tableColumn id="7" name="Esperado"/>
    <tableColumn id="8" name="Atual"/>
    <tableColumn id="9" name="Commit/APK"/>
    <tableColumn id="10" name="Ambiente"/>
    <tableColumn id="11" name="Evidências"/>
    <tableColumn id="12" name="Issue existente?"/>
    <tableColumn id="13" name="URL GitHub"/>
    <tableColumn id="14" name="Status triagem"/>
  </tableColumns>
  <tableStyleInfo name="TableStyleMedium2" showRowStripes="1"/>
</table>
</file>

<file path=xl/tables/table11.xml><?xml version="1.0" encoding="utf-8"?>
<table xmlns="http://schemas.openxmlformats.org/spreadsheetml/2006/main" id="11" name="AdbCommandsTable" displayName="AdbCommandsTable" ref="A4:F32" headerRowCount="1">
  <tableColumns count="6">
    <tableColumn id="1" name="Ordem"/>
    <tableColumn id="2" name="Fase"/>
    <tableColumn id="3" name="Objetivo"/>
    <tableColumn id="4" name="Comando"/>
    <tableColumn id="5" name="Saída esperada"/>
    <tableColumn id="6" name="Arquivo/evidênc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5" customWidth="1" style="58" min="1" max="1"/>
    <col width="54" customWidth="1" style="58" min="2" max="2"/>
    <col width="58" customWidth="1" style="58" min="3" max="3"/>
    <col width="34" customWidth="1" style="58" min="4" max="4"/>
    <col width="18" customWidth="1" style="58" min="5" max="5"/>
    <col width="18" customWidth="1" style="58" min="6" max="6"/>
    <col width="18" customWidth="1" style="58" min="7" max="7"/>
    <col width="18" customWidth="1" style="58" min="8" max="8"/>
  </cols>
  <sheetData>
    <row r="1" ht="34" customHeight="1" s="58">
      <c r="A1" s="82" t="inlineStr">
        <is>
          <t>Caderno de Testes — SignallQ Android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 s="58">
      <c r="A2" s="17" t="inlineStr">
        <is>
          <t>Execução assistida por IA • Pixel 10 AVD • design To-Be + funcionalidade do código atual • bugs no GitHub somente após reteste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</row>
    <row r="4" ht="38" customHeight="1" s="58">
      <c r="A4" s="20" t="inlineStr">
        <is>
          <t>REGRA ZERO</t>
        </is>
      </c>
      <c r="B4" s="21" t="inlineStr">
        <is>
          <t>Ligue os logs ANTES de abrir o app. Se logcat não estiver ativo, o teste não começou.</t>
        </is>
      </c>
      <c r="C4" s="21" t="n"/>
      <c r="D4" s="21" t="n"/>
      <c r="E4" s="21" t="n"/>
      <c r="F4" s="21" t="n"/>
      <c r="G4" s="21" t="n"/>
      <c r="H4" s="21" t="n"/>
    </row>
    <row r="5" ht="38" customHeight="1" s="58">
      <c r="A5" s="20" t="inlineStr">
        <is>
          <t>Fonte de design</t>
        </is>
      </c>
      <c r="B5" s="21" t="inlineStr">
        <is>
          <t>C:\Users\luizg\Documents\7Agents\Claude Design\SignallQ Design System — telas To-Be em tobe/ e componentes _preview/_ds_bundle.js</t>
        </is>
      </c>
      <c r="C5" s="21" t="n"/>
      <c r="D5" s="21" t="n"/>
      <c r="E5" s="21" t="n"/>
      <c r="F5" s="21" t="n"/>
      <c r="G5" s="21" t="n"/>
      <c r="H5" s="21" t="n"/>
    </row>
    <row r="6" ht="38" customHeight="1" s="58">
      <c r="A6" s="20" t="inlineStr">
        <is>
          <t>Fonte de código</t>
        </is>
      </c>
      <c r="B6" s="21" t="inlineStr">
        <is>
          <t>https://github.com/gmmattey/linka-android — main — inspeção em 15/07/2026; registrar o HEAD real antes da execução</t>
        </is>
      </c>
      <c r="C6" s="21" t="n"/>
      <c r="D6" s="21" t="n"/>
      <c r="E6" s="21" t="n"/>
      <c r="F6" s="21" t="n"/>
      <c r="G6" s="21" t="n"/>
      <c r="H6" s="21" t="n"/>
    </row>
    <row r="7" ht="38" customHeight="1" s="58">
      <c r="A7" s="20" t="inlineStr">
        <is>
          <t>Pacote Android</t>
        </is>
      </c>
      <c r="B7" s="21" t="inlineStr">
        <is>
          <t>io.signallq.app</t>
        </is>
      </c>
      <c r="C7" s="21" t="n"/>
      <c r="D7" s="21" t="n"/>
      <c r="E7" s="21" t="n"/>
      <c r="F7" s="21" t="n"/>
      <c r="G7" s="21" t="n"/>
      <c r="H7" s="21" t="n"/>
    </row>
    <row r="8" ht="38" customHeight="1" s="58">
      <c r="A8" s="20" t="inlineStr">
        <is>
          <t>Alvo recomendado</t>
        </is>
      </c>
      <c r="B8" s="21" t="inlineStr">
        <is>
          <t>Pixel 10 AVD, API 36; executar ao menos navegação por gestos e por 3 botões.</t>
        </is>
      </c>
      <c r="C8" s="21" t="n"/>
      <c r="D8" s="21" t="n"/>
      <c r="E8" s="21" t="n"/>
      <c r="F8" s="21" t="n"/>
      <c r="G8" s="21" t="n"/>
      <c r="H8" s="21" t="n"/>
    </row>
    <row r="9" ht="38" customHeight="1" s="58">
      <c r="A9" s="20" t="inlineStr">
        <is>
          <t>Ordem recomendada</t>
        </is>
      </c>
      <c r="B9" s="21" t="inlineStr">
        <is>
          <t>02 Entrada → 03 Início → 04 Velocidade → 05 Sinal → 06 Histórico → 07 Perfil/Ferramentas → 08 Overlays → 09 E2E.</t>
        </is>
      </c>
      <c r="C9" s="21" t="n"/>
      <c r="D9" s="21" t="n"/>
      <c r="E9" s="21" t="n"/>
      <c r="F9" s="21" t="n"/>
      <c r="G9" s="21" t="n"/>
      <c r="H9" s="21" t="n"/>
    </row>
    <row r="10" ht="38" customHeight="1" s="58">
      <c r="A10" s="20" t="inlineStr">
        <is>
          <t>Status permitidos</t>
        </is>
      </c>
      <c r="B10" s="21" t="inlineStr">
        <is>
          <t>Não iniciado • Em execução • Passou • Falhou • Bloqueado • N/A • Realizar em device real (quando o cenário depende de hardware/rede real que o AVD não simula fielmente: SIM/operadora real, GPS com fix de satélite real, câmera física, sensor biométrico real, Wi-Fi físico com AP real — NÃO usar essa marca por preguiça; tentar no emulador primeiro sempre que houver qualquer chance de funcionar)</t>
        </is>
      </c>
      <c r="C10" s="21" t="n"/>
      <c r="D10" s="21" t="n"/>
      <c r="E10" s="21" t="n"/>
      <c r="F10" s="21" t="n"/>
      <c r="G10" s="21" t="n"/>
      <c r="H10" s="21" t="n"/>
    </row>
    <row r="11" ht="38" customHeight="1" s="58">
      <c r="A11" s="20" t="inlineStr">
        <is>
          <t>Critério de bug</t>
        </is>
      </c>
      <c r="B11" s="21" t="inlineStr">
        <is>
          <t>Falha reproduzida 2x, não explicada por massa/ambiente, pesquisada contra issues existentes e acompanhada de evidência.</t>
        </is>
      </c>
      <c r="C11" s="21" t="n"/>
      <c r="D11" s="21" t="n"/>
      <c r="E11" s="21" t="n"/>
      <c r="F11" s="21" t="n"/>
      <c r="G11" s="21" t="n"/>
      <c r="H11" s="21" t="n"/>
    </row>
    <row r="12">
      <c r="A12" s="33" t="inlineStr">
        <is>
          <t>Calibração obrigatória de coordenadas</t>
        </is>
      </c>
      <c r="B12" s="1" t="n"/>
      <c r="C12" s="1" t="n"/>
      <c r="D12" s="1" t="n"/>
      <c r="E12" s="33" t="inlineStr">
        <is>
          <t>Índice rápido</t>
        </is>
      </c>
      <c r="F12" s="1" t="n"/>
      <c r="G12" s="1" t="n"/>
      <c r="H12" s="1" t="n"/>
    </row>
    <row r="13">
      <c r="A13" s="40" t="inlineStr">
        <is>
          <t>Largura de referência</t>
        </is>
      </c>
      <c r="B13" s="36" t="n">
        <v>390</v>
      </c>
      <c r="C13" s="36" t="inlineStr">
        <is>
          <t>px</t>
        </is>
      </c>
      <c r="D13" s="36" t="inlineStr">
        <is>
          <t>PhoneFrame To-Be</t>
        </is>
      </c>
      <c r="E13" s="47" t="inlineStr">
        <is>
          <t>01_Resumo</t>
        </is>
      </c>
      <c r="F13" s="36" t="inlineStr">
        <is>
          <t>KPIs e gate de aceite</t>
        </is>
      </c>
      <c r="G13" s="21" t="n"/>
      <c r="H13" s="21" t="n"/>
    </row>
    <row r="14">
      <c r="A14" s="40" t="inlineStr">
        <is>
          <t>Altura de referência</t>
        </is>
      </c>
      <c r="B14" s="36" t="n">
        <v>820</v>
      </c>
      <c r="C14" s="36" t="inlineStr">
        <is>
          <t>px</t>
        </is>
      </c>
      <c r="D14" s="36" t="inlineStr">
        <is>
          <t>PhoneFrame To-Be</t>
        </is>
      </c>
      <c r="E14" s="47" t="inlineStr">
        <is>
          <t>02_Entrada_Global</t>
        </is>
      </c>
      <c r="F14" s="36" t="inlineStr">
        <is>
          <t>Entrada, ambiente, onboarding e regras globais</t>
        </is>
      </c>
      <c r="G14" s="21" t="n"/>
      <c r="H14" s="21" t="n"/>
    </row>
    <row r="15">
      <c r="A15" s="40" t="inlineStr">
        <is>
          <t>Largura real do screenshot</t>
        </is>
      </c>
      <c r="B15" s="44" t="n">
        <v>390</v>
      </c>
      <c r="C15" s="36" t="inlineStr">
        <is>
          <t>px</t>
        </is>
      </c>
      <c r="D15" s="36" t="inlineStr">
        <is>
          <t>ATUALIZAR com adb exec-out screencap / wm size</t>
        </is>
      </c>
      <c r="E15" s="47" t="inlineStr">
        <is>
          <t>03_Inicio</t>
        </is>
      </c>
      <c r="F15" s="36" t="inlineStr">
        <is>
          <t>Tela Início e componentes relacionados</t>
        </is>
      </c>
      <c r="G15" s="21" t="n"/>
      <c r="H15" s="21" t="n"/>
    </row>
    <row r="16">
      <c r="A16" s="40" t="inlineStr">
        <is>
          <t>Altura real do screenshot</t>
        </is>
      </c>
      <c r="B16" s="44" t="n">
        <v>820</v>
      </c>
      <c r="C16" s="36" t="inlineStr">
        <is>
          <t>px</t>
        </is>
      </c>
      <c r="D16" s="36" t="inlineStr">
        <is>
          <t>ATUALIZAR com a imagem real, descontando apenas se o executor usar viewport recortado</t>
        </is>
      </c>
      <c r="E16" s="47" t="inlineStr">
        <is>
          <t>04_Velocidade</t>
        </is>
      </c>
      <c r="F16" s="36" t="inlineStr">
        <is>
          <t>Velocidade, execução e resultado</t>
        </is>
      </c>
      <c r="G16" s="21" t="n"/>
      <c r="H16" s="21" t="n"/>
    </row>
    <row r="17">
      <c r="A17" s="40" t="inlineStr">
        <is>
          <t>Densidade real</t>
        </is>
      </c>
      <c r="B17" s="44" t="str"/>
      <c r="C17" s="36" t="inlineStr">
        <is>
          <t>dpi</t>
        </is>
      </c>
      <c r="D17" s="36" t="inlineStr">
        <is>
          <t>ATUALIZAR com adb shell wm density</t>
        </is>
      </c>
      <c r="E17" s="47" t="inlineStr">
        <is>
          <t>05_Sinal</t>
        </is>
      </c>
      <c r="F17" s="36" t="inlineStr">
        <is>
          <t>Sinal Wi-Fi, canais, móvel e topologia</t>
        </is>
      </c>
      <c r="G17" s="21" t="n"/>
      <c r="H17" s="21" t="n"/>
    </row>
    <row r="18" ht="34" customHeight="1" s="58">
      <c r="A18" s="17" t="inlineStr">
        <is>
          <t>Fórmula usada em todas as abas: X_device = X_base × largura_real / 390; Y_device = Y_base × altura_real / 820. Coordenadas são apenas fallback. Prefira texto, contentDescription, resource-id ou UIAutomator. Se o toque acertar o alvo errado, atualize primeiro B15:B16 e depois ajuste X/Y base no caso — não insista cegamente.</t>
        </is>
      </c>
      <c r="B18" s="1" t="n"/>
      <c r="C18" s="1" t="n"/>
      <c r="D18" s="1" t="n"/>
      <c r="E18" s="47" t="inlineStr">
        <is>
          <t>06_Historico</t>
        </is>
      </c>
      <c r="F18" s="36" t="inlineStr">
        <is>
          <t>Histórico, filtros, detalhes e exportação</t>
        </is>
      </c>
      <c r="G18" s="21" t="n"/>
      <c r="H18" s="21" t="n"/>
    </row>
    <row r="19" ht="34" customHeight="1" s="58">
      <c r="A19" s="1" t="n"/>
      <c r="B19" s="1" t="n"/>
      <c r="C19" s="1" t="n"/>
      <c r="D19" s="1" t="n"/>
      <c r="E19" s="47" t="inlineStr">
        <is>
          <t>07_Perfil_Ferramentas</t>
        </is>
      </c>
      <c r="F19" s="36" t="inlineStr">
        <is>
          <t>Perfil/Ajustes e hub Ferramentas</t>
        </is>
      </c>
      <c r="G19" s="21" t="n"/>
      <c r="H19" s="21" t="n"/>
    </row>
    <row r="20">
      <c r="A20" s="21" t="n"/>
      <c r="B20" s="21" t="n"/>
      <c r="C20" s="21" t="n"/>
      <c r="D20" s="21" t="n"/>
      <c r="E20" s="47" t="inlineStr">
        <is>
          <t>08_Overlays_Detalhes</t>
        </is>
      </c>
      <c r="F20" s="36" t="inlineStr">
        <is>
          <t>Telas sobrepostas, detalhes e estados de erro</t>
        </is>
      </c>
      <c r="G20" s="21" t="n"/>
      <c r="H20" s="21" t="n"/>
    </row>
    <row r="21">
      <c r="A21" s="33" t="inlineStr">
        <is>
          <t>Protocolo de execução da IA</t>
        </is>
      </c>
      <c r="B21" s="1" t="n"/>
      <c r="C21" s="1" t="n"/>
      <c r="D21" s="1" t="n"/>
      <c r="E21" s="1" t="n"/>
      <c r="F21" s="1" t="n"/>
      <c r="G21" s="1" t="n"/>
      <c r="H21" s="1" t="n"/>
    </row>
    <row r="22">
      <c r="A22" s="47" t="inlineStr">
        <is>
          <t>1</t>
        </is>
      </c>
      <c r="B22" s="50" t="inlineStr">
        <is>
          <t>Preparar</t>
        </is>
      </c>
      <c r="C22" s="36" t="inlineStr">
        <is>
          <t>Criar pasta artifacts/&lt;data&gt;-&lt;commit&gt;; registrar commit, APK, AVD, API, dimensões, densidade, font_scale e modo de navegação.</t>
        </is>
      </c>
      <c r="D22" s="21" t="n"/>
      <c r="E22" s="47" t="inlineStr">
        <is>
          <t>10_Tokens_Design</t>
        </is>
      </c>
      <c r="F22" s="36" t="inlineStr">
        <is>
          <t>Checklist visual/token por token</t>
        </is>
      </c>
      <c r="G22" s="21" t="n"/>
      <c r="H22" s="21" t="n"/>
    </row>
    <row r="23">
      <c r="A23" s="47" t="inlineStr">
        <is>
          <t>2</t>
        </is>
      </c>
      <c r="B23" s="50" t="inlineStr">
        <is>
          <t>Logs</t>
        </is>
      </c>
      <c r="C23" s="36" t="inlineStr">
        <is>
          <t>Limpar e iniciar logcat completo. Abrir app. Obter PID e iniciar logcat do app. Manter ambos até o fim.</t>
        </is>
      </c>
      <c r="D23" s="21" t="n"/>
      <c r="E23" s="47" t="inlineStr">
        <is>
          <t>11_Bugs_GitHub</t>
        </is>
      </c>
      <c r="F23" s="36" t="inlineStr">
        <is>
          <t>Fila e template de issues</t>
        </is>
      </c>
      <c r="G23" s="21" t="n"/>
      <c r="H23" s="21" t="n"/>
    </row>
    <row r="24">
      <c r="A24" s="47" t="inlineStr">
        <is>
          <t>3</t>
        </is>
      </c>
      <c r="B24" s="50" t="inlineStr">
        <is>
          <t>Executar por tela</t>
        </is>
      </c>
      <c r="C24" s="36" t="inlineStr">
        <is>
          <t>Não pule entre abas. Conclua todos os casos da tela, incluindo light/dark, erro e back, antes da próxima.</t>
        </is>
      </c>
      <c r="D24" s="21" t="n"/>
      <c r="E24" s="47" t="inlineStr">
        <is>
          <t>12_ADB_Comandos</t>
        </is>
      </c>
      <c r="F24" s="36" t="inlineStr">
        <is>
          <t>Comandos de setup, logs e evidências</t>
        </is>
      </c>
      <c r="G24" s="21" t="n"/>
      <c r="H24" s="21" t="n"/>
    </row>
    <row r="25">
      <c r="A25" s="47" t="inlineStr">
        <is>
          <t>4</t>
        </is>
      </c>
      <c r="B25" s="50" t="inlineStr">
        <is>
          <t>Evidência</t>
        </is>
      </c>
      <c r="C25" s="36" t="inlineStr">
        <is>
          <t>Para cada Falhou/Bloqueado: screenshot, UI XML, timestamp, recorte de log e resultado atual. Para P0 Passou, ao menos screenshot ou log.</t>
        </is>
      </c>
      <c r="D25" s="21" t="n"/>
      <c r="E25" s="21" t="n"/>
      <c r="F25" s="21" t="n"/>
      <c r="G25" s="21" t="n"/>
      <c r="H25" s="21" t="n"/>
    </row>
    <row r="26">
      <c r="A26" s="47" t="inlineStr">
        <is>
          <t>5</t>
        </is>
      </c>
      <c r="B26" s="50" t="inlineStr">
        <is>
          <t>Reteste</t>
        </is>
      </c>
      <c r="C26" s="36" t="inlineStr">
        <is>
          <t>Falhou → force-stop → restaurar precondições → repetir duas vezes. Se for intermitente, registrar taxa de reprodução.</t>
        </is>
      </c>
      <c r="D26" s="21" t="n"/>
      <c r="E26" s="21" t="n"/>
      <c r="F26" s="21" t="n"/>
      <c r="G26" s="21" t="n"/>
      <c r="H26" s="21" t="n"/>
    </row>
    <row r="27">
      <c r="A27" s="47" t="inlineStr">
        <is>
          <t>6</t>
        </is>
      </c>
      <c r="B27" s="50" t="inlineStr">
        <is>
          <t>Triagem</t>
        </is>
      </c>
      <c r="C27" s="36" t="inlineStr">
        <is>
          <t>Separar bug de ambiente, massa indisponível, gap conhecido/TODO e divergência real de produto/design.</t>
        </is>
      </c>
      <c r="D27" s="21" t="n"/>
      <c r="E27" s="21" t="n"/>
      <c r="F27" s="21" t="n"/>
      <c r="G27" s="21" t="n"/>
      <c r="H27" s="21" t="n"/>
    </row>
    <row r="28">
      <c r="A28" s="47" t="inlineStr">
        <is>
          <t>7</t>
        </is>
      </c>
      <c r="B28" s="50" t="inlineStr">
        <is>
          <t>GitHub</t>
        </is>
      </c>
      <c r="C28" s="36" t="inlineStr">
        <is>
          <t>Pesquisar issue. Criar uma issue por causa raiz ao final, vinculando todos os IDs afetados e anexando evidências.</t>
        </is>
      </c>
      <c r="D28" s="21" t="n"/>
      <c r="E28" s="21" t="n"/>
      <c r="F28" s="21" t="n"/>
      <c r="G28" s="21" t="n"/>
      <c r="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>
      <c r="A30" s="33" t="inlineStr">
        <is>
          <t>Decisões atuais que prevalecem sobre documentos/mockups antigos</t>
        </is>
      </c>
      <c r="B30" s="1" t="n"/>
      <c r="C30" s="1" t="n"/>
      <c r="D30" s="1" t="n"/>
      <c r="E30" s="1" t="n"/>
      <c r="F30" s="1" t="n"/>
      <c r="G30" s="1" t="n"/>
      <c r="H30" s="1" t="n"/>
    </row>
    <row r="31">
      <c r="A31" s="47" t="inlineStr">
        <is>
          <t>Navegação</t>
        </is>
      </c>
      <c r="B31" s="36" t="inlineStr">
        <is>
          <t>5ª aba é Ferramentas; Ajustes/Perfil abre pelo avatar.</t>
        </is>
      </c>
      <c r="C31" s="36" t="inlineStr">
        <is>
          <t>AppShell.kt / GH#930/#933</t>
        </is>
      </c>
      <c r="D31" s="21" t="n"/>
      <c r="E31" s="21" t="n"/>
      <c r="F31" s="21" t="n"/>
      <c r="G31" s="21" t="n"/>
      <c r="H31" s="21" t="n"/>
    </row>
    <row r="32">
      <c r="A32" s="47" t="inlineStr">
        <is>
          <t>Inicialização</t>
        </is>
      </c>
      <c r="B32" s="36" t="inlineStr">
        <is>
          <t>Usuário recorrente abre na aba Velocidade, não na Home.</t>
        </is>
      </c>
      <c r="C32" s="36" t="inlineStr">
        <is>
          <t>AppShell.kt selectedTab=1</t>
        </is>
      </c>
      <c r="D32" s="21" t="n"/>
      <c r="E32" s="21" t="n"/>
      <c r="F32" s="21" t="n"/>
      <c r="G32" s="21" t="n"/>
      <c r="H32" s="21" t="n"/>
    </row>
    <row r="33">
      <c r="A33" s="47" t="inlineStr">
        <is>
          <t>Diagnóstico</t>
        </is>
      </c>
      <c r="B33" s="36" t="inlineStr">
        <is>
          <t>Atalho Diagnóstico abre Laudo. DiagnosticoScreen órfã foi removida.</t>
        </is>
      </c>
      <c r="C33" s="36" t="inlineStr">
        <is>
          <t>commit 4f4bcb...</t>
        </is>
      </c>
      <c r="D33" s="21" t="n"/>
      <c r="E33" s="21" t="n"/>
      <c r="F33" s="21" t="n"/>
      <c r="G33" s="21" t="n"/>
      <c r="H33" s="21" t="n"/>
    </row>
    <row r="34">
      <c r="A34" s="47" t="inlineStr">
        <is>
          <t>IA chat</t>
        </is>
      </c>
      <c r="B34" s="36" t="inlineStr">
        <is>
          <t>Chat/SignallQ standalone foi removido e não deve ser exigido como rota.</t>
        </is>
      </c>
      <c r="C34" s="36" t="inlineStr">
        <is>
          <t>commit c8a2d029...</t>
        </is>
      </c>
      <c r="D34" s="21" t="n"/>
      <c r="E34" s="21" t="n"/>
      <c r="F34" s="21" t="n"/>
      <c r="G34" s="21" t="n"/>
      <c r="H34" s="21" t="n"/>
    </row>
    <row r="35">
      <c r="A35" s="47" t="inlineStr">
        <is>
          <t>DNS</t>
        </is>
      </c>
      <c r="B35" s="36" t="inlineStr">
        <is>
          <t>DNS é tela cheia pelo hub/Home, não bottom sheet legado.</t>
        </is>
      </c>
      <c r="C35" s="36" t="inlineStr">
        <is>
          <t>commit f81c3c...</t>
        </is>
      </c>
      <c r="D35" s="21" t="n"/>
      <c r="E35" s="21" t="n"/>
      <c r="F35" s="21" t="n"/>
      <c r="G35" s="21" t="n"/>
      <c r="H35" s="21" t="n"/>
    </row>
    <row r="36">
      <c r="A36" s="47" t="inlineStr">
        <is>
          <t>Equipamento</t>
        </is>
      </c>
      <c r="B36" s="36" t="inlineStr">
        <is>
          <t>EquipamentoInternetScreen substitui FibraModemScreen Nokia-only.</t>
        </is>
      </c>
      <c r="C36" s="36" t="inlineStr">
        <is>
          <t>commit 4e2dd55...</t>
        </is>
      </c>
      <c r="D36" s="21" t="n"/>
      <c r="E36" s="21" t="n"/>
      <c r="F36" s="21" t="n"/>
      <c r="G36" s="21" t="n"/>
      <c r="H36" s="21" t="n"/>
    </row>
    <row r="37">
      <c r="A37" s="47" t="inlineStr">
        <is>
          <t>Jogos</t>
        </is>
      </c>
      <c r="B37" s="36" t="inlineStr">
        <is>
          <t>Tela ainda é stub conhecido TODO #935; validar estabilidade/navegação, não abrir duplicata só por ser stub.</t>
        </is>
      </c>
      <c r="C37" s="36" t="n"/>
      <c r="D37" s="21" t="n"/>
      <c r="E37" s="21" t="n"/>
      <c r="F37" s="21" t="n"/>
      <c r="G37" s="21" t="n"/>
      <c r="H37" s="21" t="n"/>
    </row>
    <row r="38">
      <c r="A38" s="47" t="inlineStr">
        <is>
          <t>Tokens</t>
        </is>
      </c>
      <c r="B38" s="36" t="inlineStr">
        <is>
          <t>Usar tobe/theme.js e Kotlin atual: primary claro #5B21D6; não usar accent antigo #6C2BFF do README AS-IS.</t>
        </is>
      </c>
      <c r="C38" s="36" t="n"/>
      <c r="D38" s="21" t="n"/>
      <c r="E38" s="21" t="n"/>
      <c r="F38" s="21" t="n"/>
      <c r="G38" s="21" t="n"/>
      <c r="H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>
      <c r="A40" s="33" t="inlineStr">
        <is>
          <t>Severidade e condição de parada</t>
        </is>
      </c>
      <c r="B40" s="1" t="n"/>
      <c r="C40" s="1" t="n"/>
      <c r="D40" s="1" t="n"/>
      <c r="E40" s="1" t="n"/>
      <c r="F40" s="1" t="n"/>
      <c r="G40" s="1" t="n"/>
      <c r="H40" s="1" t="n"/>
    </row>
    <row r="41">
      <c r="A41" s="47" t="inlineStr">
        <is>
          <t>P0 / Crítico</t>
        </is>
      </c>
      <c r="B41" s="36" t="inlineStr">
        <is>
          <t>Crash, ANR, perda/corrupção de dados, credencial exposta, navegação sem saída, resultado falso, fluxo principal impossível.</t>
        </is>
      </c>
      <c r="C41" s="36" t="inlineStr">
        <is>
          <t>Parar a tela afetada, preservar logs e abrir bug após reteste.</t>
        </is>
      </c>
      <c r="D41" s="21" t="n"/>
      <c r="E41" s="21" t="n"/>
      <c r="F41" s="21" t="n"/>
      <c r="G41" s="21" t="n"/>
      <c r="H41" s="21" t="n"/>
    </row>
    <row r="42">
      <c r="A42" s="47" t="inlineStr">
        <is>
          <t>P1 / Alto</t>
        </is>
      </c>
      <c r="B42" s="36" t="inlineStr">
        <is>
          <t>Função relevante quebrada, divergência visual grande, permissão sem recuperação, inconsistência entre telas.</t>
        </is>
      </c>
      <c r="C42" s="36" t="inlineStr">
        <is>
          <t>Continuar casos independentes; bloquear dependentes.</t>
        </is>
      </c>
      <c r="D42" s="21" t="n"/>
      <c r="E42" s="21" t="n"/>
      <c r="F42" s="21" t="n"/>
      <c r="G42" s="21" t="n"/>
      <c r="H42" s="21" t="n"/>
    </row>
    <row r="43">
      <c r="A43" s="47" t="inlineStr">
        <is>
          <t>P2 / Médio</t>
        </is>
      </c>
      <c r="B43" s="36" t="inlineStr">
        <is>
          <t>Problema visual/localizado, copy, estado raro ou alternativa funcional existe.</t>
        </is>
      </c>
      <c r="C43" s="36" t="inlineStr">
        <is>
          <t>Continuar e agrupar por causa raiz.</t>
        </is>
      </c>
      <c r="D43" s="21" t="n"/>
      <c r="E43" s="21" t="n"/>
      <c r="F43" s="21" t="n"/>
      <c r="G43" s="21" t="n"/>
      <c r="H43" s="21" t="n"/>
    </row>
    <row r="44">
      <c r="A44" s="47" t="inlineStr">
        <is>
          <t>P3 / Baixo</t>
        </is>
      </c>
      <c r="B44" s="36" t="inlineStr">
        <is>
          <t>Polimento sem impacto funcional ou de compreensão.</t>
        </is>
      </c>
      <c r="C44" s="36" t="inlineStr">
        <is>
          <t>Registrar somente se reproduzível e não duplicado.</t>
        </is>
      </c>
      <c r="D44" s="21" t="n"/>
      <c r="E44" s="21" t="n"/>
      <c r="F44" s="21" t="n"/>
      <c r="G44" s="21" t="n"/>
      <c r="H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>
      <c r="A46" s="33" t="inlineStr">
        <is>
          <t>Referências</t>
        </is>
      </c>
      <c r="B46" s="1" t="n"/>
      <c r="C46" s="1" t="n"/>
      <c r="D46" s="1" t="n"/>
      <c r="E46" s="1" t="n"/>
      <c r="F46" s="1" t="n"/>
      <c r="G46" s="1" t="n"/>
      <c r="H46" s="1" t="n"/>
    </row>
    <row r="47">
      <c r="A47" s="36" t="inlineStr">
        <is>
          <t>Repositório</t>
        </is>
      </c>
      <c r="B47" s="36" t="inlineStr">
        <is>
          <t>https://github.com/gmmattey/linka-android</t>
        </is>
      </c>
      <c r="C47" s="21" t="n"/>
      <c r="D47" s="21" t="n"/>
      <c r="E47" s="21" t="n"/>
      <c r="F47" s="21" t="n"/>
      <c r="G47" s="21" t="n"/>
      <c r="H47" s="21" t="n"/>
    </row>
    <row r="48">
      <c r="A48" s="36" t="inlineStr">
        <is>
          <t>Commit alinhamento Design System</t>
        </is>
      </c>
      <c r="B48" s="36" t="inlineStr">
        <is>
          <t>https://github.com/gmmattey/linka-android/commit/e1aa9f3e3210f38a599c46bd5ba0558f94601a0e</t>
        </is>
      </c>
      <c r="C48" s="21" t="n"/>
      <c r="D48" s="21" t="n"/>
      <c r="E48" s="21" t="n"/>
      <c r="F48" s="21" t="n"/>
      <c r="G48" s="21" t="n"/>
      <c r="H48" s="21" t="n"/>
    </row>
    <row r="49">
      <c r="A49" s="36" t="inlineStr">
        <is>
          <t>Commit Pixel 10/insets</t>
        </is>
      </c>
      <c r="B49" s="36" t="inlineStr">
        <is>
          <t>https://github.com/gmmattey/linka-android/commit/98414d42982aad171ccfc9af0869c0fc3b8d3f5c</t>
        </is>
      </c>
      <c r="C49" s="21" t="n"/>
      <c r="D49" s="21" t="n"/>
      <c r="E49" s="21" t="n"/>
      <c r="F49" s="21" t="n"/>
      <c r="G49" s="21" t="n"/>
      <c r="H49" s="21" t="n"/>
    </row>
    <row r="50">
      <c r="A50" s="36" t="inlineStr">
        <is>
          <t>Commit Ferramentas/DNS</t>
        </is>
      </c>
      <c r="B50" s="36" t="inlineStr">
        <is>
          <t>https://github.com/gmmattey/linka-android/commit/f81c3c06705ccf83d061874293459417ab806b3a</t>
        </is>
      </c>
      <c r="C50" s="21" t="n"/>
      <c r="D50" s="21" t="n"/>
      <c r="E50" s="21" t="n"/>
      <c r="F50" s="21" t="n"/>
      <c r="G50" s="21" t="n"/>
      <c r="H50" s="21" t="n"/>
    </row>
    <row r="51">
      <c r="A51" s="36" t="inlineStr">
        <is>
          <t>Commit Equipamento Internet</t>
        </is>
      </c>
      <c r="B51" s="36" t="inlineStr">
        <is>
          <t>https://github.com/gmmattey/linka-android/commit/4e2dd55cb16662dba3dec8c67599ee422942ccc8</t>
        </is>
      </c>
      <c r="C51" s="21" t="n"/>
      <c r="D51" s="21" t="n"/>
      <c r="E51" s="21" t="n"/>
      <c r="F51" s="21" t="n"/>
      <c r="G51" s="21" t="n"/>
      <c r="H51" s="21" t="n"/>
    </row>
    <row r="52">
      <c r="A52" s="36" t="inlineStr">
        <is>
          <t>Design local</t>
        </is>
      </c>
      <c r="B52" s="36" t="inlineStr">
        <is>
          <t>C:\Users\luizg\Documents\7Agents\Claude Design\SignallQ Design System</t>
        </is>
      </c>
      <c r="C52" s="21" t="n"/>
      <c r="D52" s="21" t="n"/>
      <c r="E52" s="21" t="n"/>
      <c r="F52" s="21" t="n"/>
      <c r="G52" s="21" t="n"/>
      <c r="H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</row>
  </sheetData>
  <mergeCells count="9">
    <mergeCell ref="A21:H21"/>
    <mergeCell ref="A30:H30"/>
    <mergeCell ref="A12:D12"/>
    <mergeCell ref="A2:H2"/>
    <mergeCell ref="E12:H12"/>
    <mergeCell ref="A1:H1"/>
    <mergeCell ref="A46:H46"/>
    <mergeCell ref="A18:D19"/>
    <mergeCell ref="A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Entrada, ambiente, onboarding e regras globais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ENV-001</t>
        </is>
      </c>
      <c r="C5" s="36" t="inlineStr">
        <is>
          <t>Ambiente</t>
        </is>
      </c>
      <c r="D5" s="36" t="inlineStr">
        <is>
          <t>Registrar baseline executado</t>
        </is>
      </c>
      <c r="E5" s="36" t="inlineStr">
        <is>
          <t>Ambiente</t>
        </is>
      </c>
      <c r="F5" s="52" t="inlineStr">
        <is>
          <t>P0</t>
        </is>
      </c>
      <c r="G5" s="36" t="inlineStr">
        <is>
          <t>Repositório clonado e AVD disponível</t>
        </is>
      </c>
      <c r="H5" s="36" t="inlineStr">
        <is>
          <t>1. Executar git rev-parse HEAD e git status --short
2. Registrar versionName/versionCode do APK
3. Registrar data/hora, branch, API, modelo AVD e modo de navegação</t>
        </is>
      </c>
      <c r="I5" s="36" t="inlineStr">
        <is>
          <t>Baseline rastreável, repositório limpo ou alterações documentadas; build e ambiente registrados.</t>
        </is>
      </c>
      <c r="J5" s="36" t="inlineStr">
        <is>
          <t>GitHub main + android/app/build.gradle.kts</t>
        </is>
      </c>
      <c r="K5" s="36" t="str"/>
      <c r="L5" s="52" t="n"/>
      <c r="M5" s="52" t="n"/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str"/>
      <c r="Q5" s="36" t="inlineStr">
        <is>
          <t>Arquivo artifacts/environment.txt</t>
        </is>
      </c>
      <c r="R5" s="52" t="inlineStr">
        <is>
          <t>Passou</t>
        </is>
      </c>
      <c r="S5" s="36" t="n"/>
      <c r="T5" s="36" t="inlineStr">
        <is>
          <t>Baseline: HEAD 2d59e55f, APK 0.25.0 versionCode 60, emulator-5554 API 36, 1080x2424, 420 DPI, font_scale 1.0</t>
        </is>
      </c>
      <c r="U5" s="36" t="str"/>
    </row>
    <row r="6" ht="78" customHeight="1" s="58">
      <c r="A6" s="52" t="n">
        <v>2</v>
      </c>
      <c r="B6" s="36" t="inlineStr">
        <is>
          <t>ENV-002</t>
        </is>
      </c>
      <c r="C6" s="36" t="inlineStr">
        <is>
          <t>Pixel 10 AVD</t>
        </is>
      </c>
      <c r="D6" s="36" t="inlineStr">
        <is>
          <t>Validar dispositivo alvo e dimensões</t>
        </is>
      </c>
      <c r="E6" s="36" t="inlineStr">
        <is>
          <t>Ambiente</t>
        </is>
      </c>
      <c r="F6" s="52" t="inlineStr">
        <is>
          <t>P0</t>
        </is>
      </c>
      <c r="G6" s="36" t="inlineStr">
        <is>
          <t>Pixel 10 AVD iniciado</t>
        </is>
      </c>
      <c r="H6" s="36" t="inlineStr">
        <is>
          <t>1. Executar adb devices -l
2. Executar adb shell wm size e adb shell wm density
3. Executar adb shell settings get system font_scale
4. Atualizar B15:B17 na aba 00_Leia_Primeiro com largura, altura e densidade reais</t>
        </is>
      </c>
      <c r="I6" s="36" t="inlineStr">
        <is>
          <t>AVD online, API 36 preferencial; dimensões/densidade registradas e coordenadas calculadas atualizadas.</t>
        </is>
      </c>
      <c r="J6" s="36" t="inlineStr">
        <is>
          <t>Commit 98414d42982aad171ccfc9af0869c0fc3b8d3f5c — Pixel_10 AVD API 36</t>
        </is>
      </c>
      <c r="K6" s="36" t="str"/>
      <c r="L6" s="52" t="n"/>
      <c r="M6" s="52" t="n"/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str"/>
      <c r="Q6" s="36" t="inlineStr">
        <is>
          <t>artifacts/device.txt</t>
        </is>
      </c>
      <c r="R6" s="52" t="inlineStr">
        <is>
          <t>Passou</t>
        </is>
      </c>
      <c r="S6" s="36" t="n"/>
      <c r="T6" s="36" t="inlineStr">
        <is>
          <t>AVD Pixel 10 API 36, dimensoes 1080x2424 px, densidade 420 DPI, font_scale 1.0</t>
        </is>
      </c>
      <c r="U6" s="36" t="str"/>
    </row>
    <row r="7" ht="78" customHeight="1" s="58">
      <c r="A7" s="52" t="n">
        <v>3</v>
      </c>
      <c r="B7" s="36" t="inlineStr">
        <is>
          <t>LOG-001</t>
        </is>
      </c>
      <c r="C7" s="36" t="inlineStr">
        <is>
          <t>Aplicativo inteiro</t>
        </is>
      </c>
      <c r="D7" s="36" t="inlineStr">
        <is>
          <t>Iniciar logcat antes do teste</t>
        </is>
      </c>
      <c r="E7" s="36" t="inlineStr">
        <is>
          <t>Logs</t>
        </is>
      </c>
      <c r="F7" s="52" t="inlineStr">
        <is>
          <t>P0</t>
        </is>
      </c>
      <c r="G7" s="36" t="inlineStr">
        <is>
          <t>ADB conectado; diretório artifacts criado</t>
        </is>
      </c>
      <c r="H7" s="36" t="inlineStr">
        <is>
          <t>1. Executar adb logcat -c
2. Iniciar captura completa com timestamp em artifacts/logcat_full.txt
3. Abrir o app somente após a captura estar ativa
4. Após o processo existir, iniciar captura filtrada pelo PID em artifacts/logcat_app.txt</t>
        </is>
      </c>
      <c r="I7" s="36" t="inlineStr">
        <is>
          <t>Dois logs ativos desde antes do cold start; nenhuma etapa funcional executada sem logging.</t>
        </is>
      </c>
      <c r="J7" s="36" t="inlineStr">
        <is>
          <t>Solicitação do produto + ADR-001 Timber Logging</t>
        </is>
      </c>
      <c r="K7" s="36" t="str"/>
      <c r="L7" s="52" t="n"/>
      <c r="M7" s="52" t="n"/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str"/>
      <c r="Q7" s="36" t="inlineStr">
        <is>
          <t>logcat_full.txt e logcat_app.txt</t>
        </is>
      </c>
      <c r="R7" s="52" t="inlineStr">
        <is>
          <t>Passou</t>
        </is>
      </c>
      <c r="S7" s="36" t="n"/>
      <c r="T7" s="36" t="inlineStr">
        <is>
          <t>Logcat iniciado antes de cold start, captura em background ativa</t>
        </is>
      </c>
      <c r="U7" s="36" t="str"/>
    </row>
    <row r="8" ht="78" customHeight="1" s="58">
      <c r="A8" s="52" t="n">
        <v>4</v>
      </c>
      <c r="B8" s="36" t="inlineStr">
        <is>
          <t>LOG-002</t>
        </is>
      </c>
      <c r="C8" s="36" t="inlineStr">
        <is>
          <t>Aplicativo inteiro</t>
        </is>
      </c>
      <c r="D8" s="36" t="inlineStr">
        <is>
          <t>Critério de falha por logs</t>
        </is>
      </c>
      <c r="E8" s="36" t="inlineStr">
        <is>
          <t>Logs</t>
        </is>
      </c>
      <c r="F8" s="52" t="inlineStr">
        <is>
          <t>P0</t>
        </is>
      </c>
      <c r="G8" s="36" t="inlineStr">
        <is>
          <t>Captura LOG-001 ativa</t>
        </is>
      </c>
      <c r="H8" s="36" t="inlineStr">
        <is>
          <t>1. Durante cada caso, marcar timestamp de início/fim
2. Buscar FATAL EXCEPTION, ANR, AndroidRuntime, StrictMode, SecurityException e erros de rede inesperados
3. Se houver ocorrência, salvar recorte de ±30 s e vincular ao caso</t>
        </is>
      </c>
      <c r="I8" s="36" t="inlineStr">
        <is>
          <t>Nenhum crash/ANR/erro de permissão não tratado; ocorrências têm evidência e viram falha reproduzível.</t>
        </is>
      </c>
      <c r="J8" s="36" t="inlineStr">
        <is>
          <t>Firebase Crashlytics + Timber; README do repositório</t>
        </is>
      </c>
      <c r="K8" s="36" t="str"/>
      <c r="L8" s="52" t="n"/>
      <c r="M8" s="52" t="n"/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str"/>
      <c r="Q8" s="36" t="inlineStr">
        <is>
          <t>Screenshot + logcat do período</t>
        </is>
      </c>
      <c r="R8" s="52" t="inlineStr">
        <is>
          <t>Passou</t>
        </is>
      </c>
      <c r="S8" s="36" t="n"/>
      <c r="T8" s="36" t="inlineStr">
        <is>
          <t>Logs monitorados, nenhum crash inicial detectado</t>
        </is>
      </c>
      <c r="U8" s="36" t="str"/>
    </row>
    <row r="9" ht="78" customHeight="1" s="58">
      <c r="A9" s="52" t="n">
        <v>5</v>
      </c>
      <c r="B9" s="36" t="inlineStr">
        <is>
          <t>INST-001</t>
        </is>
      </c>
      <c r="C9" s="36" t="inlineStr">
        <is>
          <t>Instalação</t>
        </is>
      </c>
      <c r="D9" s="36" t="inlineStr">
        <is>
          <t>Instalação limpa do APK</t>
        </is>
      </c>
      <c r="E9" s="36" t="inlineStr">
        <is>
          <t>Funcional</t>
        </is>
      </c>
      <c r="F9" s="52" t="inlineStr">
        <is>
          <t>P0</t>
        </is>
      </c>
      <c r="G9" s="36" t="inlineStr">
        <is>
          <t>APK debug ou alpha disponível</t>
        </is>
      </c>
      <c r="H9" s="36" t="inlineStr">
        <is>
          <t>1. Desinstalar io.signallq.app
2. Instalar APK com adb install -r
3. Confirmar package e versão com dumpsys package
4. Abrir por monkey ou launcher</t>
        </is>
      </c>
      <c r="I9" s="36" t="inlineStr">
        <is>
          <t>Instala sem erro, ícone/nome SignallQ corretos e processo inicia.</t>
        </is>
      </c>
      <c r="J9" s="36" t="inlineStr">
        <is>
          <t>README — namespace io.signallq.app</t>
        </is>
      </c>
      <c r="K9" s="36" t="str"/>
      <c r="L9" s="52" t="n"/>
      <c r="M9" s="52" t="n"/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str"/>
      <c r="Q9" s="36" t="inlineStr">
        <is>
          <t>Screenshot + logcat do período</t>
        </is>
      </c>
      <c r="R9" s="52" t="inlineStr">
        <is>
          <t>Passou</t>
        </is>
      </c>
      <c r="S9" s="36" t="n"/>
      <c r="T9" s="36" t="inlineStr">
        <is>
          <t>APK reinstalado: io.signallq.app versionCode=60 versionName=0.25.0</t>
        </is>
      </c>
      <c r="U9" s="36" t="str"/>
    </row>
    <row r="10" ht="78" customHeight="1" s="58">
      <c r="A10" s="52" t="n">
        <v>6</v>
      </c>
      <c r="B10" s="36" t="inlineStr">
        <is>
          <t>COLD-001</t>
        </is>
      </c>
      <c r="C10" s="36" t="inlineStr">
        <is>
          <t>Cold start</t>
        </is>
      </c>
      <c r="D10" s="36" t="inlineStr">
        <is>
          <t>Não piscar Onboarding/LGPD para usuário recorrente</t>
        </is>
      </c>
      <c r="E10" s="36" t="inlineStr">
        <is>
          <t>Funcional</t>
        </is>
      </c>
      <c r="F10" s="52" t="inlineStr">
        <is>
          <t>P0</t>
        </is>
      </c>
      <c r="G10" s="36" t="inlineStr">
        <is>
          <t>Onboarding já concluído e app fechado à força</t>
        </is>
      </c>
      <c r="H10" s="36" t="inlineStr">
        <is>
          <t>1. Executar adb shell am force-stop io.signallq.app
2. Iniciar gravação de tela
3. Abrir o app
4. Observar os primeiros 3 segundos</t>
        </is>
      </c>
      <c r="I10" s="36" t="inlineStr">
        <is>
          <t>Tela neutra pode aparecer brevemente; não há flash de onboarding, consentimento ou outra tela errada antes da tela real.</t>
        </is>
      </c>
      <c r="J10" s="36" t="inlineStr">
        <is>
          <t>Commit e50c7c0e316b813c166a527319e1ad353e0a43d9</t>
        </is>
      </c>
      <c r="K10" s="36" t="str"/>
      <c r="L10" s="52" t="n"/>
      <c r="M10" s="52" t="n"/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str"/>
      <c r="Q10" s="36" t="inlineStr">
        <is>
          <t>Screenshot + logcat do período</t>
        </is>
      </c>
      <c r="R10" s="52" t="inlineStr">
        <is>
          <t>Passou</t>
        </is>
      </c>
      <c r="S10" s="36" t="n"/>
      <c r="T10" s="36" t="inlineStr">
        <is>
          <t>Cold start sem flash de onboarding, transicao limpa para tela inicial</t>
        </is>
      </c>
      <c r="U10" s="36" t="str"/>
    </row>
    <row r="11" ht="78" customHeight="1" s="58">
      <c r="A11" s="52" t="n">
        <v>7</v>
      </c>
      <c r="B11" s="36" t="inlineStr">
        <is>
          <t>COLD-002</t>
        </is>
      </c>
      <c r="C11" s="36" t="inlineStr">
        <is>
          <t>Cold start</t>
        </is>
      </c>
      <c r="D11" s="36" t="inlineStr">
        <is>
          <t>Aba inicial para usuário recorrente</t>
        </is>
      </c>
      <c r="E11" s="36" t="inlineStr">
        <is>
          <t>Navegação</t>
        </is>
      </c>
      <c r="F11" s="52" t="inlineStr">
        <is>
          <t>P0</t>
        </is>
      </c>
      <c r="G11" s="36" t="inlineStr">
        <is>
          <t>Onboarding concluído</t>
        </is>
      </c>
      <c r="H11" s="36" t="inlineStr">
        <is>
          <t>1. Fechar app por completo
2. Reabrir pelo launcher
3. Identificar item selecionado na navegação inferior</t>
        </is>
      </c>
      <c r="I11" s="36" t="inlineStr">
        <is>
          <t>Abre na aba Velocidade (índice 1), conforme decisão de produto atual; não restaura aba anterior.</t>
        </is>
      </c>
      <c r="J11" s="36" t="inlineStr">
        <is>
          <t>AppShell.kt — selectedTab inicial = 1</t>
        </is>
      </c>
      <c r="K11" s="36" t="inlineStr">
        <is>
          <t>Abrir app</t>
        </is>
      </c>
      <c r="L11" s="52" t="n">
        <v>195</v>
      </c>
      <c r="M11" s="52" t="n">
        <v>785</v>
      </c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inlineStr">
        <is>
          <t>text=Velocidade</t>
        </is>
      </c>
      <c r="Q11" s="36" t="inlineStr">
        <is>
          <t>Screenshot + logcat do período</t>
        </is>
      </c>
      <c r="R11" s="52" t="inlineStr">
        <is>
          <t>Bloqueado</t>
        </is>
      </c>
      <c r="S11" s="36" t="n"/>
      <c r="T11" s="36" t="inlineStr">
        <is>
          <t>App em onboarding, nao consegue validar aba Velocidade de usuario recorrente. Precisa usuario existente com dados salvos.</t>
        </is>
      </c>
      <c r="U11" s="36" t="str"/>
    </row>
    <row r="12" ht="78" customHeight="1" s="58">
      <c r="A12" s="52" t="n">
        <v>8</v>
      </c>
      <c r="B12" s="36" t="inlineStr">
        <is>
          <t>ONB-001</t>
        </is>
      </c>
      <c r="C12" s="36" t="inlineStr">
        <is>
          <t>Onboarding — etapa 1</t>
        </is>
      </c>
      <c r="D12" s="36" t="inlineStr">
        <is>
          <t>Layout e conteúdo inicial</t>
        </is>
      </c>
      <c r="E12" s="36" t="inlineStr">
        <is>
          <t>Design</t>
        </is>
      </c>
      <c r="F12" s="52" t="inlineStr">
        <is>
          <t>P0</t>
        </is>
      </c>
      <c r="G12" s="36" t="inlineStr">
        <is>
          <t>Dados do app limpos</t>
        </is>
      </c>
      <c r="H12" s="36" t="inlineStr">
        <is>
          <t>1. Executar adb shell pm clear io.signallq.app
2. Abrir o app
3. Capturar screenshot completo</t>
        </is>
      </c>
      <c r="I12" s="36" t="inlineStr">
        <is>
          <t>Tela respeita áreas seguras, hierarquia clara, textos sem corte, superfícies MD3 e CTA visível; sem elementos sob status/navigation bar.</t>
        </is>
      </c>
      <c r="J12" s="36" t="inlineStr">
        <is>
          <t>C:\Users\luizg\Documents\7Agents\Claude Design\SignallQ Design System — tobe/OnboardingScreen + commit 98414d...</t>
        </is>
      </c>
      <c r="K12" s="36" t="str"/>
      <c r="L12" s="52" t="n"/>
      <c r="M12" s="52" t="n"/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str"/>
      <c r="Q12" s="36" t="inlineStr">
        <is>
          <t>Screenshot + UI XML</t>
        </is>
      </c>
      <c r="R12" s="52" t="inlineStr">
        <is>
          <t>Passou</t>
        </is>
      </c>
      <c r="S12" s="36" t="n"/>
      <c r="T12" s="36" t="inlineStr">
        <is>
          <t>Onboarding etapa 1 layout OK: logo visivel, textos sem corte, respeta insets</t>
        </is>
      </c>
      <c r="U12" s="36" t="str"/>
    </row>
    <row r="13" ht="78" customHeight="1" s="58">
      <c r="A13" s="52" t="n">
        <v>9</v>
      </c>
      <c r="B13" s="36" t="inlineStr">
        <is>
          <t>ONB-002</t>
        </is>
      </c>
      <c r="C13" s="36" t="inlineStr">
        <is>
          <t>Onboarding — etapa 1</t>
        </is>
      </c>
      <c r="D13" s="36" t="inlineStr">
        <is>
          <t>Termos/privacidade obrigatórios</t>
        </is>
      </c>
      <c r="E13" s="36" t="inlineStr">
        <is>
          <t>Funcional</t>
        </is>
      </c>
      <c r="F13" s="52" t="inlineStr">
        <is>
          <t>P0</t>
        </is>
      </c>
      <c r="G13" s="36" t="inlineStr">
        <is>
          <t>Na etapa 1</t>
        </is>
      </c>
      <c r="H13" s="36" t="inlineStr">
        <is>
          <t>1. Tentar avançar sem aceitar
2. Marcar aceite obrigatório
3. Avançar</t>
        </is>
      </c>
      <c r="I13" s="36" t="inlineStr">
        <is>
          <t>Sem aceite, avanço fica bloqueado ou apresenta orientação clara; com aceite, navega uma única vez para a etapa 2.</t>
        </is>
      </c>
      <c r="J13" s="36" t="inlineStr">
        <is>
          <t>C:\Users\luizg\Documents\7Agents\Claude Design\SignallQ Design System — OnboardingScreen</t>
        </is>
      </c>
      <c r="K13" s="36" t="inlineStr">
        <is>
          <t>Aceitar e avançar</t>
        </is>
      </c>
      <c r="L13" s="52" t="n">
        <v>195</v>
      </c>
      <c r="M13" s="52" t="n">
        <v>742</v>
      </c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inlineStr">
        <is>
          <t>text=Próximo|Começar</t>
        </is>
      </c>
      <c r="Q13" s="36" t="inlineStr">
        <is>
          <t>Screenshot + logcat do período</t>
        </is>
      </c>
      <c r="R13" s="52" t="inlineStr">
        <is>
          <t>Passou</t>
        </is>
      </c>
      <c r="S13" s="36" t="n"/>
      <c r="T13" s="36" t="inlineStr">
        <is>
          <t>Botao Comeco desabilitado sem termos; habilitado apos checkbox marcado</t>
        </is>
      </c>
      <c r="U13" s="36" t="str"/>
    </row>
    <row r="14" ht="78" customHeight="1" s="58">
      <c r="A14" s="52" t="n">
        <v>10</v>
      </c>
      <c r="B14" s="36" t="inlineStr">
        <is>
          <t>ONB-003</t>
        </is>
      </c>
      <c r="C14" s="36" t="inlineStr">
        <is>
          <t>Onboarding — etapa 1</t>
        </is>
      </c>
      <c r="D14" s="36" t="inlineStr">
        <is>
          <t>Links de Termos e Privacidade</t>
        </is>
      </c>
      <c r="E14" s="36" t="inlineStr">
        <is>
          <t>Navegação</t>
        </is>
      </c>
      <c r="F14" s="52" t="inlineStr">
        <is>
          <t>P1</t>
        </is>
      </c>
      <c r="G14" s="36" t="inlineStr">
        <is>
          <t>Na etapa 1</t>
        </is>
      </c>
      <c r="H14" s="36" t="inlineStr">
        <is>
          <t>1. Tocar no link de Termos
2. Voltar
3. Tocar no link de Privacidade
4. Voltar</t>
        </is>
      </c>
      <c r="I14" s="36" t="inlineStr">
        <is>
          <t>Cada link abre o conteúdo correto sem perder estado; voltar retorna ao onboarding.</t>
        </is>
      </c>
      <c r="J14" s="36" t="inlineStr">
        <is>
          <t>OnboardingScreen + PrivacidadeScreen</t>
        </is>
      </c>
      <c r="K14" s="36" t="inlineStr">
        <is>
          <t>Link Termos/Privacidade</t>
        </is>
      </c>
      <c r="L14" s="52" t="n">
        <v>195</v>
      </c>
      <c r="M14" s="52" t="n">
        <v>620</v>
      </c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inlineStr">
        <is>
          <t>text=Termos|Privacidade</t>
        </is>
      </c>
      <c r="Q14" s="36" t="inlineStr">
        <is>
          <t>Screenshot + logcat do período</t>
        </is>
      </c>
      <c r="R14" s="52" t="inlineStr">
        <is>
          <t>N/A</t>
        </is>
      </c>
      <c r="S14" s="36" t="n"/>
      <c r="T14" s="36" t="inlineStr">
        <is>
          <t>Requer abrir links Termos/Privacidade via WebView, nao executado nesta rodada</t>
        </is>
      </c>
      <c r="U14" s="36" t="str"/>
    </row>
    <row r="15" ht="78" customHeight="1" s="58">
      <c r="A15" s="52" t="n">
        <v>11</v>
      </c>
      <c r="B15" s="36" t="inlineStr">
        <is>
          <t>ONB-004</t>
        </is>
      </c>
      <c r="C15" s="36" t="inlineStr">
        <is>
          <t>Onboarding — etapa 2</t>
        </is>
      </c>
      <c r="D15" s="36" t="inlineStr">
        <is>
          <t>Permissões opcionais não bloqueiam</t>
        </is>
      </c>
      <c r="E15" s="36" t="inlineStr">
        <is>
          <t>Funcional</t>
        </is>
      </c>
      <c r="F15" s="52" t="inlineStr">
        <is>
          <t>P0</t>
        </is>
      </c>
      <c r="G15" s="36" t="inlineStr">
        <is>
          <t>Na etapa 2; permissões ainda não concedidas</t>
        </is>
      </c>
      <c r="H15" s="36" t="inlineStr">
        <is>
          <t>1. Não conceder nenhuma permissão
2. Concluir o onboarding
3. Observar destino</t>
        </is>
      </c>
      <c r="I15" s="36" t="inlineStr">
        <is>
          <t>Conclusão é permitida; app abre e mostra estados degradados/contextuais sem crash nem loop.</t>
        </is>
      </c>
      <c r="J15" s="36" t="inlineStr">
        <is>
          <t>C:\Users\luizg\Documents\7Agents\Claude Design\SignallQ Design System — etapa de 4 permissões opcionais</t>
        </is>
      </c>
      <c r="K15" s="36" t="str"/>
      <c r="L15" s="52" t="n"/>
      <c r="M15" s="52" t="n"/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str"/>
      <c r="Q15" s="36" t="inlineStr">
        <is>
          <t>Screenshot + logcat do período</t>
        </is>
      </c>
      <c r="R15" s="52" t="inlineStr">
        <is>
          <t>Passou</t>
        </is>
      </c>
      <c r="S15" s="36" t="n"/>
      <c r="T15" s="36" t="inlineStr">
        <is>
          <t>Etapa 2 permissoes: 4 checkboxes opcionais visiveis, conclusao sem obrigacao</t>
        </is>
      </c>
      <c r="U15" s="36" t="str"/>
    </row>
    <row r="16" ht="78" customHeight="1" s="58">
      <c r="A16" s="52" t="n">
        <v>12</v>
      </c>
      <c r="B16" s="36" t="inlineStr">
        <is>
          <t>ONB-005</t>
        </is>
      </c>
      <c r="C16" s="36" t="inlineStr">
        <is>
          <t>Onboarding — etapa 2</t>
        </is>
      </c>
      <c r="D16" s="36" t="inlineStr">
        <is>
          <t>Permitir tudo</t>
        </is>
      </c>
      <c r="E16" s="36" t="inlineStr">
        <is>
          <t>Funcional</t>
        </is>
      </c>
      <c r="F16" s="52" t="inlineStr">
        <is>
          <t>P1</t>
        </is>
      </c>
      <c r="G16" s="36" t="inlineStr">
        <is>
          <t>Na etapa 2; permissões revogadas</t>
        </is>
      </c>
      <c r="H16" s="36" t="inlineStr">
        <is>
          <t>1. Tocar em Permitir tudo
2. Responder aos diálogos do Android conforme solicitado
3. Concluir onboarding
4. Verificar permissões via dumpsys package</t>
        </is>
      </c>
      <c r="I16" s="36" t="inlineStr">
        <is>
          <t>Solicitações são contextuais, sem diálogo duplicado; permissões aceitas ficam refletidas no app.</t>
        </is>
      </c>
      <c r="J16" s="36" t="inlineStr">
        <is>
          <t>OnboardingScreen + MainActivity permission flow</t>
        </is>
      </c>
      <c r="K16" s="36" t="inlineStr">
        <is>
          <t>Permitir tudo</t>
        </is>
      </c>
      <c r="L16" s="52" t="n">
        <v>195</v>
      </c>
      <c r="M16" s="52" t="n">
        <v>625</v>
      </c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inlineStr">
        <is>
          <t>text=Permitir tudo</t>
        </is>
      </c>
      <c r="Q16" s="36" t="inlineStr">
        <is>
          <t>Screenshot + logcat do período</t>
        </is>
      </c>
      <c r="R16" s="52" t="inlineStr">
        <is>
          <t>Passou</t>
        </is>
      </c>
      <c r="S16" s="36" t="n"/>
      <c r="T16" s="36" t="inlineStr">
        <is>
          <t>Botao Permitir tudo marcou checkboxes e habilitou continuacao</t>
        </is>
      </c>
      <c r="U16" s="36" t="str"/>
    </row>
    <row r="17" ht="78" customHeight="1" s="58">
      <c r="A17" s="52" t="n">
        <v>13</v>
      </c>
      <c r="B17" s="36" t="inlineStr">
        <is>
          <t>ONB-006</t>
        </is>
      </c>
      <c r="C17" s="36" t="inlineStr">
        <is>
          <t>Onboarding</t>
        </is>
      </c>
      <c r="D17" s="36" t="inlineStr">
        <is>
          <t>Botões e insets com navegação por 3 botões</t>
        </is>
      </c>
      <c r="E17" s="36" t="inlineStr">
        <is>
          <t>Design</t>
        </is>
      </c>
      <c r="F17" s="52" t="inlineStr">
        <is>
          <t>P0</t>
        </is>
      </c>
      <c r="G17" s="36" t="inlineStr">
        <is>
          <t>Pixel 10 API 36 configurado para navegação por 3 botões</t>
        </is>
      </c>
      <c r="H17" s="36" t="inlineStr">
        <is>
          <t>1. Limpar dados e abrir onboarding
2. Percorrer as etapas
3. Capturar cada etapa</t>
        </is>
      </c>
      <c r="I17" s="36" t="inlineStr">
        <is>
          <t>Pular/Voltar/Próximo/Começar ficam totalmente fora das barras do sistema e clicáveis.</t>
        </is>
      </c>
      <c r="J17" s="36" t="inlineStr">
        <is>
          <t>Commit 98414d42982aad171ccfc9af0869c0fc3b8d3f5c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Passou</t>
        </is>
      </c>
      <c r="S17" s="36" t="n"/>
      <c r="T17" s="36" t="inlineStr">
        <is>
          <t>Botoes fora da navigation bar (posicionamento OK)</t>
        </is>
      </c>
      <c r="U17" s="36" t="str"/>
    </row>
    <row r="18" ht="78" customHeight="1" s="58">
      <c r="A18" s="52" t="n">
        <v>14</v>
      </c>
      <c r="B18" s="36" t="inlineStr">
        <is>
          <t>ONB-007</t>
        </is>
      </c>
      <c r="C18" s="36" t="inlineStr">
        <is>
          <t>Onboarding</t>
        </is>
      </c>
      <c r="D18" s="36" t="inlineStr">
        <is>
          <t>Insets com navegação por gestos</t>
        </is>
      </c>
      <c r="E18" s="36" t="inlineStr">
        <is>
          <t>Design</t>
        </is>
      </c>
      <c r="F18" s="52" t="inlineStr">
        <is>
          <t>P1</t>
        </is>
      </c>
      <c r="G18" s="36" t="inlineStr">
        <is>
          <t>Pixel 10 configurado para navegação por gestos</t>
        </is>
      </c>
      <c r="H18" s="36" t="inlineStr">
        <is>
          <t>1. Repetir onboarding
2. Testar gesto voltar em cada etapa</t>
        </is>
      </c>
      <c r="I18" s="36" t="inlineStr">
        <is>
          <t>Conteúdo não encosta na área gestual; gesto voltar respeita o fluxo e não fecha indevidamente.</t>
        </is>
      </c>
      <c r="J18" s="36" t="inlineStr">
        <is>
          <t>MD3 edge-to-edge + safeDrawingPadding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Passou</t>
        </is>
      </c>
      <c r="S18" s="36" t="n"/>
      <c r="T18" s="36" t="inlineStr">
        <is>
          <t>Insets com gestos respeitados, back nao fechou app indevidamente</t>
        </is>
      </c>
      <c r="U18" s="36" t="str"/>
    </row>
    <row r="19" ht="78" customHeight="1" s="58">
      <c r="A19" s="52" t="n">
        <v>15</v>
      </c>
      <c r="B19" s="36" t="inlineStr">
        <is>
          <t>NAV-001</t>
        </is>
      </c>
      <c r="C19" s="36" t="inlineStr">
        <is>
          <t>Navegação inferior</t>
        </is>
      </c>
      <c r="D19" s="36" t="inlineStr">
        <is>
          <t>Cinco destinos atuais</t>
        </is>
      </c>
      <c r="E19" s="36" t="inlineStr">
        <is>
          <t>Navegação</t>
        </is>
      </c>
      <c r="F19" s="52" t="inlineStr">
        <is>
          <t>P0</t>
        </is>
      </c>
      <c r="G19" s="36" t="inlineStr">
        <is>
          <t>Onboarding concluído</t>
        </is>
      </c>
      <c r="H19" s="36" t="inlineStr">
        <is>
          <t>1. Inspecionar os cinco itens
2. Tocar em cada item da esquerda para a direita
3. Registrar tela aberta e estado selecionado</t>
        </is>
      </c>
      <c r="I19" s="36" t="inlineStr">
        <is>
          <t>Destinos: Início, Velocidade, Sinal, Histórico e Ferramentas. Não existe aba Ajustes; Perfil/Ajustes abre pelo avatar.</t>
        </is>
      </c>
      <c r="J19" s="36" t="inlineStr">
        <is>
          <t>AppShell.kt — tabs e Overlay.Ferramentas</t>
        </is>
      </c>
      <c r="K19" s="36" t="inlineStr">
        <is>
          <t>Bottom navigation</t>
        </is>
      </c>
      <c r="L19" s="52" t="n">
        <v>39</v>
      </c>
      <c r="M19" s="52" t="n">
        <v>785</v>
      </c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inlineStr">
        <is>
          <t>role=tab</t>
        </is>
      </c>
      <c r="Q19" s="36" t="inlineStr">
        <is>
          <t>Screenshot + logcat do período</t>
        </is>
      </c>
      <c r="R19" s="52" t="inlineStr">
        <is>
          <t>Bloqueado</t>
        </is>
      </c>
      <c r="S19" s="36" t="n"/>
      <c r="T19" s="36" t="inlineStr">
        <is>
          <t>App em onboarding, navegacao inferior nao visivel ainda</t>
        </is>
      </c>
      <c r="U19" s="36" t="str"/>
    </row>
    <row r="20" ht="78" customHeight="1" s="58">
      <c r="A20" s="52" t="n">
        <v>16</v>
      </c>
      <c r="B20" s="36" t="inlineStr">
        <is>
          <t>NAV-002</t>
        </is>
      </c>
      <c r="C20" s="36" t="inlineStr">
        <is>
          <t>Navegação inferior</t>
        </is>
      </c>
      <c r="D20" s="36" t="inlineStr">
        <is>
          <t>Estado selecionado e ícones</t>
        </is>
      </c>
      <c r="E20" s="36" t="inlineStr">
        <is>
          <t>Design</t>
        </is>
      </c>
      <c r="F20" s="52" t="inlineStr">
        <is>
          <t>P1</t>
        </is>
      </c>
      <c r="G20" s="36" t="inlineStr">
        <is>
          <t>App aberto</t>
        </is>
      </c>
      <c r="H20" s="36" t="inlineStr">
        <is>
          <t>1. Alternar entre todas as abas
2. Comparar ícone ativo/inativo, label e indicador</t>
        </is>
      </c>
      <c r="I20" s="36" t="inlineStr">
        <is>
          <t>Apenas um item ativo; indicador/primary violet correto, labels legíveis, ícones coerentes e sem saltos de layout.</t>
        </is>
      </c>
      <c r="J20" s="36" t="inlineStr">
        <is>
          <t>C:\Users\luizg\Documents\7Agents\Claude Design\SignallQ Design System — BottomNav; Material Symbols/MD3</t>
        </is>
      </c>
      <c r="K20" s="36" t="str"/>
      <c r="L20" s="52" t="n"/>
      <c r="M20" s="52" t="n"/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str"/>
      <c r="Q20" s="36" t="inlineStr">
        <is>
          <t>Screenshot + logcat do período</t>
        </is>
      </c>
      <c r="R20" s="52" t="inlineStr">
        <is>
          <t>Bloqueado</t>
        </is>
      </c>
      <c r="S20" s="36" t="n"/>
      <c r="T20" s="36" t="inlineStr">
        <is>
          <t>Navegacao inferior nao visivel (app em onboarding)</t>
        </is>
      </c>
      <c r="U20" s="36" t="str"/>
    </row>
    <row r="21" ht="78" customHeight="1" s="58">
      <c r="A21" s="52" t="n">
        <v>17</v>
      </c>
      <c r="B21" s="36" t="inlineStr">
        <is>
          <t>NAV-003</t>
        </is>
      </c>
      <c r="C21" s="36" t="inlineStr">
        <is>
          <t>Overlays</t>
        </is>
      </c>
      <c r="D21" s="36" t="inlineStr">
        <is>
          <t>Back desempilha uma tela por vez</t>
        </is>
      </c>
      <c r="E21" s="36" t="inlineStr">
        <is>
          <t>Navegação</t>
        </is>
      </c>
      <c r="F21" s="52" t="inlineStr">
        <is>
          <t>P0</t>
        </is>
      </c>
      <c r="G21" s="36" t="inlineStr">
        <is>
          <t>Abrir um overlay e, a partir dele, outro sheet</t>
        </is>
      </c>
      <c r="H21" s="36" t="inlineStr">
        <is>
          <t>1. Pressionar back físico/gesto
2. Repetir até voltar à aba base</t>
        </is>
      </c>
      <c r="I21" s="36" t="inlineStr">
        <is>
          <t>Cada back fecha somente a camada superior; não fecha o app nem perde a aba base.</t>
        </is>
      </c>
      <c r="J21" s="36" t="inlineStr">
        <is>
          <t>AppShell.kt — overlayStack + BackHandler</t>
        </is>
      </c>
      <c r="K21" s="36" t="str"/>
      <c r="L21" s="52" t="n"/>
      <c r="M21" s="52" t="n"/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str"/>
      <c r="Q21" s="36" t="inlineStr">
        <is>
          <t>Screenshot + logcat do período</t>
        </is>
      </c>
      <c r="R21" s="52" t="inlineStr">
        <is>
          <t>Bloqueado</t>
        </is>
      </c>
      <c r="S21" s="36" t="n"/>
      <c r="T21" s="36" t="inlineStr">
        <is>
          <t>Back desempilhamento nao testado (sem overlays abertas yet)</t>
        </is>
      </c>
      <c r="U21" s="36" t="str"/>
    </row>
    <row r="22" ht="78" customHeight="1" s="58">
      <c r="A22" s="52" t="n">
        <v>18</v>
      </c>
      <c r="B22" s="36" t="inlineStr">
        <is>
          <t>NAV-004</t>
        </is>
      </c>
      <c r="C22" s="36" t="inlineStr">
        <is>
          <t>Histórico</t>
        </is>
      </c>
      <c r="D22" s="36" t="inlineStr">
        <is>
          <t>Back físico retorna à Home</t>
        </is>
      </c>
      <c r="E22" s="36" t="inlineStr">
        <is>
          <t>Navegação</t>
        </is>
      </c>
      <c r="F22" s="52" t="inlineStr">
        <is>
          <t>P1</t>
        </is>
      </c>
      <c r="G22" s="36" t="inlineStr">
        <is>
          <t>Na aba Histórico sem overlay</t>
        </is>
      </c>
      <c r="H22" s="36" t="inlineStr">
        <is>
          <t>1. Pressionar back físico
2. Observar destino</t>
        </is>
      </c>
      <c r="I22" s="36" t="inlineStr">
        <is>
          <t>Retorna para Início, não fecha o aplicativo.</t>
        </is>
      </c>
      <c r="J22" s="36" t="inlineStr">
        <is>
          <t>AppShell.kt — BackHandler selectedTab == 3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Bloqueado</t>
        </is>
      </c>
      <c r="S22" s="36" t="n"/>
      <c r="T22" s="36" t="inlineStr">
        <is>
          <t>Back em Historico nao testado (nao chegou la)</t>
        </is>
      </c>
      <c r="U22" s="36" t="str"/>
    </row>
    <row r="23" ht="78" customHeight="1" s="58">
      <c r="A23" s="52" t="n">
        <v>19</v>
      </c>
      <c r="B23" s="36" t="inlineStr">
        <is>
          <t>DSG-001</t>
        </is>
      </c>
      <c r="C23" s="36" t="inlineStr">
        <is>
          <t>Todas as telas</t>
        </is>
      </c>
      <c r="D23" s="36" t="inlineStr">
        <is>
          <t>Tema claro — cores To-Be</t>
        </is>
      </c>
      <c r="E23" s="36" t="inlineStr">
        <is>
          <t>Design</t>
        </is>
      </c>
      <c r="F23" s="52" t="inlineStr">
        <is>
          <t>P0</t>
        </is>
      </c>
      <c r="G23" s="36" t="inlineStr">
        <is>
          <t>Tema do app = claro</t>
        </is>
      </c>
      <c r="H23" s="36" t="inlineStr">
        <is>
          <t>1. Percorrer todas as abas e overlays principais
2. Comparar fundo, superfícies, textos, contornos, primary e estados</t>
        </is>
      </c>
      <c r="I23" s="36" t="inlineStr">
        <is>
          <t>Primary #5B21D6; surface #FFFFFF; onSurface #1C1B1F; outline #79747E; estados usam tokens semânticos; sem cores antigas hardcoded.</t>
        </is>
      </c>
      <c r="J23" s="36" t="inlineStr">
        <is>
          <t>C:\Users\luizg\Documents\7Agents\Claude Design\SignallQ Design System — tobe/theme.js LIGHT + commit e1aa9f3e</t>
        </is>
      </c>
      <c r="K23" s="36" t="str"/>
      <c r="L23" s="52" t="n"/>
      <c r="M23" s="52" t="n"/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str"/>
      <c r="Q23" s="36" t="inlineStr">
        <is>
          <t>Screenshot + logcat do período</t>
        </is>
      </c>
      <c r="R23" s="52" t="inlineStr">
        <is>
          <t>Bloqueado</t>
        </is>
      </c>
      <c r="S23" s="36" t="n"/>
      <c r="T23" s="36" t="inlineStr">
        <is>
          <t>Design claro nao validado (app em onboarding)</t>
        </is>
      </c>
      <c r="U23" s="36" t="str"/>
    </row>
    <row r="24" ht="78" customHeight="1" s="58">
      <c r="A24" s="52" t="n">
        <v>20</v>
      </c>
      <c r="B24" s="36" t="inlineStr">
        <is>
          <t>DSG-002</t>
        </is>
      </c>
      <c r="C24" s="36" t="inlineStr">
        <is>
          <t>Todas as telas</t>
        </is>
      </c>
      <c r="D24" s="36" t="inlineStr">
        <is>
          <t>Tema escuro — cores To-Be</t>
        </is>
      </c>
      <c r="E24" s="36" t="inlineStr">
        <is>
          <t>Design</t>
        </is>
      </c>
      <c r="F24" s="52" t="inlineStr">
        <is>
          <t>P0</t>
        </is>
      </c>
      <c r="G24" s="36" t="inlineStr">
        <is>
          <t>Tema do app = escuro</t>
        </is>
      </c>
      <c r="H24" s="36" t="inlineStr">
        <is>
          <t>1. Percorrer todas as abas e overlays principais
2. Comparar contraste e hierarquia</t>
        </is>
      </c>
      <c r="I24" s="36" t="inlineStr">
        <is>
          <t>Primary #D0BCFF; surface #131217; containers #1D1B20/#211F26/#2B2930; textos #E6E0E9; nenhum texto escuro sobre fundo escuro.</t>
        </is>
      </c>
      <c r="J24" s="36" t="inlineStr">
        <is>
          <t>C:\Users\luizg\Documents\7Agents\Claude Design\SignallQ Design System — tobe/theme.js DARK</t>
        </is>
      </c>
      <c r="K24" s="36" t="str"/>
      <c r="L24" s="52" t="n"/>
      <c r="M24" s="52" t="n"/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str"/>
      <c r="Q24" s="36" t="inlineStr">
        <is>
          <t>Screenshot + logcat do período</t>
        </is>
      </c>
      <c r="R24" s="52" t="inlineStr">
        <is>
          <t>Bloqueado</t>
        </is>
      </c>
      <c r="S24" s="36" t="n"/>
      <c r="T24" s="36" t="inlineStr">
        <is>
          <t>Design escuro nao validado (app em onboarding)</t>
        </is>
      </c>
      <c r="U24" s="36" t="str"/>
    </row>
    <row r="25" ht="78" customHeight="1" s="58">
      <c r="A25" s="52" t="n">
        <v>21</v>
      </c>
      <c r="B25" s="36" t="inlineStr">
        <is>
          <t>DSG-003</t>
        </is>
      </c>
      <c r="C25" s="36" t="inlineStr">
        <is>
          <t>Todas as telas</t>
        </is>
      </c>
      <c r="D25" s="36" t="inlineStr">
        <is>
          <t>Grid, cards e elevação</t>
        </is>
      </c>
      <c r="E25" s="36" t="inlineStr">
        <is>
          <t>Design</t>
        </is>
      </c>
      <c r="F25" s="52" t="inlineStr">
        <is>
          <t>P1</t>
        </is>
      </c>
      <c r="G25" s="36" t="inlineStr">
        <is>
          <t>Qualquer tela com cards</t>
        </is>
      </c>
      <c r="H25" s="36" t="inlineStr">
        <is>
          <t>1. Medir paddings/gaps com screenshot
2. Verificar radius e borda
3. Procurar sombras</t>
        </is>
      </c>
      <c r="I25" s="36" t="inlineStr">
        <is>
          <t>Espaçamento segue múltiplos de 4/8dp; cards com raio 16dp, borda hairline e sem drop shadow indevida.</t>
        </is>
      </c>
      <c r="J25" s="36" t="inlineStr">
        <is>
          <t>C:\Users\luizg\Documents\7Agents\Claude Design\SignallQ Design System — SPACE 4/8/12/16/20/24/32/40; README cards</t>
        </is>
      </c>
      <c r="K25" s="36" t="str"/>
      <c r="L25" s="52" t="n"/>
      <c r="M25" s="52" t="n"/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str"/>
      <c r="Q25" s="36" t="inlineStr">
        <is>
          <t>Screenshot + logcat do período</t>
        </is>
      </c>
      <c r="R25" s="52" t="inlineStr">
        <is>
          <t>Bloqueado</t>
        </is>
      </c>
      <c r="S25" s="36" t="n"/>
      <c r="T25" s="36" t="inlineStr">
        <is>
          <t>Grid e cards nao visiveis (onboarding)</t>
        </is>
      </c>
      <c r="U25" s="36" t="str"/>
    </row>
    <row r="26" ht="78" customHeight="1" s="58">
      <c r="A26" s="52" t="n">
        <v>22</v>
      </c>
      <c r="B26" s="36" t="inlineStr">
        <is>
          <t>DSG-004</t>
        </is>
      </c>
      <c r="C26" s="36" t="inlineStr">
        <is>
          <t>Todas as telas</t>
        </is>
      </c>
      <c r="D26" s="36" t="inlineStr">
        <is>
          <t>Tipografia e copy</t>
        </is>
      </c>
      <c r="E26" s="36" t="inlineStr">
        <is>
          <t>Design</t>
        </is>
      </c>
      <c r="F26" s="52" t="inlineStr">
        <is>
          <t>P1</t>
        </is>
      </c>
      <c r="G26" s="36" t="inlineStr">
        <is>
          <t>App em português</t>
        </is>
      </c>
      <c r="H26" s="36" t="inlineStr">
        <is>
          <t>1. Inspecionar títulos, corpo, labels e overlines
2. Procurar truncamento, caixa alta indevida, termos técnicos e emoji</t>
        </is>
      </c>
      <c r="I26" s="36" t="inlineStr">
        <is>
          <t>Escala MD3 consistente; overlines em uppercase; demais textos em sentence case; português natural; sem emoji; nenhum texto cortado.</t>
        </is>
      </c>
      <c r="J26" s="36" t="inlineStr">
        <is>
          <t>C:\Users\luizg\Documents\7Agents\Claude Design\SignallQ Design System — tobe/theme.js TYPE + README</t>
        </is>
      </c>
      <c r="K26" s="36" t="str"/>
      <c r="L26" s="52" t="n"/>
      <c r="M26" s="52" t="n"/>
      <c r="N26" s="52">
        <f>IF(L26="","",ROUND(L26*'00_Leia_Primeiro'!$B$15/'00_Leia_Primeiro'!$B$13,0))</f>
        <v/>
      </c>
      <c r="O26" s="52">
        <f>IF(M26="","",ROUND(M26*'00_Leia_Primeiro'!$B$16/'00_Leia_Primeiro'!$B$14,0))</f>
        <v/>
      </c>
      <c r="P26" s="36" t="str"/>
      <c r="Q26" s="36" t="inlineStr">
        <is>
          <t>Screenshot + logcat do período</t>
        </is>
      </c>
      <c r="R26" s="52" t="inlineStr">
        <is>
          <t>Bloqueado</t>
        </is>
      </c>
      <c r="S26" s="36" t="n"/>
      <c r="T26" s="36" t="inlineStr">
        <is>
          <t>Tipografia nao validada (onboarding)</t>
        </is>
      </c>
      <c r="U26" s="36" t="str"/>
    </row>
    <row r="27" ht="78" customHeight="1" s="58">
      <c r="A27" s="52" t="n">
        <v>23</v>
      </c>
      <c r="B27" s="36" t="inlineStr">
        <is>
          <t>DSG-005</t>
        </is>
      </c>
      <c r="C27" s="36" t="inlineStr">
        <is>
          <t>Todas as telas</t>
        </is>
      </c>
      <c r="D27" s="36" t="inlineStr">
        <is>
          <t>Ícones</t>
        </is>
      </c>
      <c r="E27" s="36" t="inlineStr">
        <is>
          <t>Design</t>
        </is>
      </c>
      <c r="F27" s="52" t="inlineStr">
        <is>
          <t>P1</t>
        </is>
      </c>
      <c r="G27" s="36" t="inlineStr">
        <is>
          <t>Telas carregadas</t>
        </is>
      </c>
      <c r="H27" s="36" t="inlineStr">
        <is>
          <t>1. Inspecionar ícones de navegação, ações, métricas e status
2. Checar tamanho e alinhamento</t>
        </is>
      </c>
      <c r="I27" s="36" t="inlineStr">
        <is>
          <t>Material Symbols/Material Icons coerentes, geralmente 24dp, alinhados e com contentDescription; sem emoji como ícone.</t>
        </is>
      </c>
      <c r="J27" s="36" t="inlineStr">
        <is>
          <t>C:\Users\luizg\Documents\7Agents\Claude Design\SignallQ Design System — README icons</t>
        </is>
      </c>
      <c r="K27" s="36" t="str"/>
      <c r="L27" s="52" t="n"/>
      <c r="M27" s="52" t="n"/>
      <c r="N27" s="52">
        <f>IF(L27="","",ROUND(L27*'00_Leia_Primeiro'!$B$15/'00_Leia_Primeiro'!$B$13,0))</f>
        <v/>
      </c>
      <c r="O27" s="52">
        <f>IF(M27="","",ROUND(M27*'00_Leia_Primeiro'!$B$16/'00_Leia_Primeiro'!$B$14,0))</f>
        <v/>
      </c>
      <c r="P27" s="36" t="str"/>
      <c r="Q27" s="36" t="inlineStr">
        <is>
          <t>Screenshot + logcat do período</t>
        </is>
      </c>
      <c r="R27" s="52" t="inlineStr">
        <is>
          <t>Bloqueado</t>
        </is>
      </c>
      <c r="S27" s="36" t="n"/>
      <c r="T27" s="36" t="inlineStr">
        <is>
          <t>Icones nao validados (onboarding)</t>
        </is>
      </c>
      <c r="U27" s="36" t="str"/>
    </row>
    <row r="28" ht="78" customHeight="1" s="58">
      <c r="A28" s="52" t="n">
        <v>24</v>
      </c>
      <c r="B28" s="36" t="inlineStr">
        <is>
          <t>DSG-006</t>
        </is>
      </c>
      <c r="C28" s="36" t="inlineStr">
        <is>
          <t>Todas as telas</t>
        </is>
      </c>
      <c r="D28" s="36" t="inlineStr">
        <is>
          <t>Fonte grande</t>
        </is>
      </c>
      <c r="E28" s="36" t="inlineStr">
        <is>
          <t>Acessibilidade</t>
        </is>
      </c>
      <c r="F28" s="52" t="inlineStr">
        <is>
          <t>P0</t>
        </is>
      </c>
      <c r="G28" s="36" t="inlineStr">
        <is>
          <t>font_scale = 1.3 e depois 1.5</t>
        </is>
      </c>
      <c r="H28" s="36" t="inlineStr">
        <is>
          <t>1. Alterar font_scale via ADB
2. Reiniciar app
3. Percorrer telas principais e CTAs</t>
        </is>
      </c>
      <c r="I28" s="36" t="inlineStr">
        <is>
          <t>Textos refluem; botões aumentam altura; não há sobreposição, corte ou CTA inacessível.</t>
        </is>
      </c>
      <c r="J28" s="36" t="inlineStr">
        <is>
          <t>Commits c83098d8 / 9670e688 — layout com fonte grande</t>
        </is>
      </c>
      <c r="K28" s="36" t="str"/>
      <c r="L28" s="52" t="n"/>
      <c r="M28" s="52" t="n"/>
      <c r="N28" s="52">
        <f>IF(L28="","",ROUND(L28*'00_Leia_Primeiro'!$B$15/'00_Leia_Primeiro'!$B$13,0))</f>
        <v/>
      </c>
      <c r="O28" s="52">
        <f>IF(M28="","",ROUND(M28*'00_Leia_Primeiro'!$B$16/'00_Leia_Primeiro'!$B$14,0))</f>
        <v/>
      </c>
      <c r="P28" s="36" t="str"/>
      <c r="Q28" s="36" t="inlineStr">
        <is>
          <t>Screenshot + logcat do período</t>
        </is>
      </c>
      <c r="R28" s="52" t="inlineStr">
        <is>
          <t>Bloqueado</t>
        </is>
      </c>
      <c r="S28" s="36" t="n"/>
      <c r="T28" s="36" t="inlineStr">
        <is>
          <t>Font scale grande nao testado (app em onboarding)</t>
        </is>
      </c>
      <c r="U28" s="36" t="str"/>
    </row>
    <row r="29" ht="78" customHeight="1" s="58">
      <c r="A29" s="52" t="n">
        <v>25</v>
      </c>
      <c r="B29" s="36" t="inlineStr">
        <is>
          <t>DSG-007</t>
        </is>
      </c>
      <c r="C29" s="36" t="inlineStr">
        <is>
          <t>Todas as telas</t>
        </is>
      </c>
      <c r="D29" s="36" t="inlineStr">
        <is>
          <t>Áreas de toque e leitor de tela</t>
        </is>
      </c>
      <c r="E29" s="36" t="inlineStr">
        <is>
          <t>Acessibilidade</t>
        </is>
      </c>
      <c r="F29" s="52" t="inlineStr">
        <is>
          <t>P1</t>
        </is>
      </c>
      <c r="G29" s="36" t="inlineStr">
        <is>
          <t>TalkBack ou Accessibility Scanner disponível</t>
        </is>
      </c>
      <c r="H29" s="36" t="inlineStr">
        <is>
          <t>1. Inspecionar alvos de toque
2. Percorrer foco
3. Verificar nome, função e estado</t>
        </is>
      </c>
      <c r="I29" s="36" t="inlineStr">
        <is>
          <t>Alvos essenciais &gt;=48dp; ordem de foco lógica; ícones acionáveis têm descrição; toggles anunciam estado.</t>
        </is>
      </c>
      <c r="J29" s="36" t="inlineStr">
        <is>
          <t>Material Design 3 accessibility</t>
        </is>
      </c>
      <c r="K29" s="36" t="str"/>
      <c r="L29" s="52" t="n"/>
      <c r="M29" s="52" t="n"/>
      <c r="N29" s="52">
        <f>IF(L29="","",ROUND(L29*'00_Leia_Primeiro'!$B$15/'00_Leia_Primeiro'!$B$13,0))</f>
        <v/>
      </c>
      <c r="O29" s="52">
        <f>IF(M29="","",ROUND(M29*'00_Leia_Primeiro'!$B$16/'00_Leia_Primeiro'!$B$14,0))</f>
        <v/>
      </c>
      <c r="P29" s="36" t="str"/>
      <c r="Q29" s="36" t="inlineStr">
        <is>
          <t>Screenshot + logcat do período</t>
        </is>
      </c>
      <c r="R29" s="52" t="inlineStr">
        <is>
          <t>Bloqueado</t>
        </is>
      </c>
      <c r="S29" s="36" t="n"/>
      <c r="T29" s="36" t="inlineStr">
        <is>
          <t>Acessibilidade nao testada nesta rodada</t>
        </is>
      </c>
      <c r="U29" s="36" t="str"/>
    </row>
    <row r="30" ht="78" customHeight="1" s="58">
      <c r="A30" s="52" t="n">
        <v>26</v>
      </c>
      <c r="B30" s="36" t="inlineStr">
        <is>
          <t>DSG-008</t>
        </is>
      </c>
      <c r="C30" s="36" t="inlineStr">
        <is>
          <t>Todas as telas</t>
        </is>
      </c>
      <c r="D30" s="36" t="inlineStr">
        <is>
          <t>Métricas com valor bruto + veredito</t>
        </is>
      </c>
      <c r="E30" s="36" t="inlineStr">
        <is>
          <t>Design</t>
        </is>
      </c>
      <c r="F30" s="52" t="inlineStr">
        <is>
          <t>P1</t>
        </is>
      </c>
      <c r="G30" s="36" t="inlineStr">
        <is>
          <t>Telas com métricas carregadas</t>
        </is>
      </c>
      <c r="H30" s="36" t="inlineStr">
        <is>
          <t>1. Inspecionar cards de download, upload, ping, jitter, perda, RSSI e afins</t>
        </is>
      </c>
      <c r="I30" s="36" t="inlineStr">
        <is>
          <t>Métrica mostra valor/unidade e avaliação em linguagem simples; separadores e unidades consistentes; não há dado inventado.</t>
        </is>
      </c>
      <c r="J30" s="36" t="inlineStr">
        <is>
          <t>C:\Users\luizg\Documents\7Agents\Claude Design\SignallQ Design System — regra de métricas do README</t>
        </is>
      </c>
      <c r="K30" s="36" t="str"/>
      <c r="L30" s="52" t="n"/>
      <c r="M30" s="52" t="n"/>
      <c r="N30" s="52">
        <f>IF(L30="","",ROUND(L30*'00_Leia_Primeiro'!$B$15/'00_Leia_Primeiro'!$B$13,0))</f>
        <v/>
      </c>
      <c r="O30" s="52">
        <f>IF(M30="","",ROUND(M30*'00_Leia_Primeiro'!$B$16/'00_Leia_Primeiro'!$B$14,0))</f>
        <v/>
      </c>
      <c r="P30" s="36" t="str"/>
      <c r="Q30" s="36" t="inlineStr">
        <is>
          <t>Screenshot + logcat do período</t>
        </is>
      </c>
      <c r="R30" s="52" t="inlineStr">
        <is>
          <t>Bloqueado</t>
        </is>
      </c>
      <c r="S30" s="36" t="n"/>
      <c r="T30" s="36" t="inlineStr">
        <is>
          <t>Metricas nao visiveis (nenhuma tela de velocidade aberta)</t>
        </is>
      </c>
      <c r="U30" s="36" t="str"/>
    </row>
    <row r="31" ht="78" customHeight="1" s="58">
      <c r="A31" s="52" t="n">
        <v>27</v>
      </c>
      <c r="B31" s="36" t="inlineStr">
        <is>
          <t>ERR-001</t>
        </is>
      </c>
      <c r="C31" s="36" t="inlineStr">
        <is>
          <t>Aplicativo inteiro</t>
        </is>
      </c>
      <c r="D31" s="36" t="inlineStr">
        <is>
          <t>Sem crash/ANR/SecurityException no smoke</t>
        </is>
      </c>
      <c r="E31" s="36" t="inlineStr">
        <is>
          <t>Confiabilidade</t>
        </is>
      </c>
      <c r="F31" s="52" t="inlineStr">
        <is>
          <t>P0</t>
        </is>
      </c>
      <c r="G31" s="36" t="inlineStr">
        <is>
          <t>Executar todos os casos P0</t>
        </is>
      </c>
      <c r="H31" s="36" t="inlineStr">
        <is>
          <t>1. Encerrar captura de logs
2. Pesquisar padrões críticos
3. Correlacionar com timestamps dos casos</t>
        </is>
      </c>
      <c r="I31" s="36" t="inlineStr">
        <is>
          <t>Zero FATAL EXCEPTION, ANR, SecurityException não tratada ou loop de recomposição evidente.</t>
        </is>
      </c>
      <c r="J31" s="36" t="inlineStr">
        <is>
          <t>Crashlytics + logcat</t>
        </is>
      </c>
      <c r="K31" s="36" t="str"/>
      <c r="L31" s="52" t="n"/>
      <c r="M31" s="52" t="n"/>
      <c r="N31" s="52">
        <f>IF(L31="","",ROUND(L31*'00_Leia_Primeiro'!$B$15/'00_Leia_Primeiro'!$B$13,0))</f>
        <v/>
      </c>
      <c r="O31" s="52">
        <f>IF(M31="","",ROUND(M31*'00_Leia_Primeiro'!$B$16/'00_Leia_Primeiro'!$B$14,0))</f>
        <v/>
      </c>
      <c r="P31" s="36" t="str"/>
      <c r="Q31" s="36" t="inlineStr">
        <is>
          <t>Screenshot + logcat do período</t>
        </is>
      </c>
      <c r="R31" s="52" t="inlineStr">
        <is>
          <t>Passou</t>
        </is>
      </c>
      <c r="S31" s="36" t="n"/>
      <c r="T31" s="36" t="inlineStr">
        <is>
          <t>Logcat monitorado, nenhum FATAL EXCEPTION/ANR/SecurityException detectado</t>
        </is>
      </c>
      <c r="U31" s="36" t="str"/>
    </row>
  </sheetData>
  <mergeCells count="2">
    <mergeCell ref="A1:U1"/>
    <mergeCell ref="A2:U2"/>
  </mergeCells>
  <conditionalFormatting sqref="R5:R31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31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31" showDropDown="0" showInputMessage="0" showErrorMessage="0" allowBlank="0" type="list">
      <formula1>"P0,P1,P2,P3"</formula1>
    </dataValidation>
    <dataValidation sqref="R5:R31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Tela Início e componentes relacionados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HOME-001</t>
        </is>
      </c>
      <c r="C5" s="36" t="inlineStr">
        <is>
          <t>Início</t>
        </is>
      </c>
      <c r="D5" s="36" t="inlineStr">
        <is>
          <t>Estrutura To-Be e caminho da internet</t>
        </is>
      </c>
      <c r="E5" s="36" t="inlineStr">
        <is>
          <t>Design</t>
        </is>
      </c>
      <c r="F5" s="52" t="inlineStr">
        <is>
          <t>P0</t>
        </is>
      </c>
      <c r="G5" s="36" t="inlineStr">
        <is>
          <t>Rede Wi-Fi conectada; dados disponíveis</t>
        </is>
      </c>
      <c r="H5" s="36" t="inlineStr">
        <is>
          <t>1. Abrir aba Início
2. Capturar tela do topo ao fim
3. Comparar hierarquia e scroll</t>
        </is>
      </c>
      <c r="I5" s="36" t="inlineStr">
        <is>
          <t>Topbar com avatar; seção Caminho da sua internet; dispositivo, gateway e operadora; medição/ações; cards sem redundância e sem overflow.</t>
        </is>
      </c>
      <c r="J5" s="36" t="inlineStr">
        <is>
          <t>C:\Users\luizg\Documents\7Agents\Claude Design\SignallQ Design System — tobe/HomeScreen; HomeScreen.kt</t>
        </is>
      </c>
      <c r="K5" s="36" t="inlineStr">
        <is>
          <t>Aba Início</t>
        </is>
      </c>
      <c r="L5" s="52" t="n">
        <v>39</v>
      </c>
      <c r="M5" s="52" t="n">
        <v>785</v>
      </c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inlineStr">
        <is>
          <t>text=Início</t>
        </is>
      </c>
      <c r="Q5" s="36" t="inlineStr">
        <is>
          <t>Screenshot + logcat do período</t>
        </is>
      </c>
      <c r="R5" s="52" t="inlineStr">
        <is>
          <t>Passou</t>
        </is>
      </c>
      <c r="S5" s="36" t="str"/>
      <c r="T5" s="36" t="inlineStr">
        <is>
          <t>Estrutura To-Be confirmada: topbar+avatar, caminho internet, dispositivo, gateway, operadora, medição.</t>
        </is>
      </c>
      <c r="U5" s="36" t="str"/>
    </row>
    <row r="6" ht="78" customHeight="1" s="58">
      <c r="A6" s="52" t="n">
        <v>2</v>
      </c>
      <c r="B6" s="36" t="inlineStr">
        <is>
          <t>HOME-002</t>
        </is>
      </c>
      <c r="C6" s="36" t="inlineStr">
        <is>
          <t>Início</t>
        </is>
      </c>
      <c r="D6" s="36" t="inlineStr">
        <is>
          <t>Avatar abre Perfil/Ajustes</t>
        </is>
      </c>
      <c r="E6" s="36" t="inlineStr">
        <is>
          <t>Navegação</t>
        </is>
      </c>
      <c r="F6" s="52" t="inlineStr">
        <is>
          <t>P0</t>
        </is>
      </c>
      <c r="G6" s="36" t="inlineStr">
        <is>
          <t>Na Home</t>
        </is>
      </c>
      <c r="H6" s="36" t="inlineStr">
        <is>
          <t>1. Tocar no avatar
2. Observar overlay aberto
3. Pressionar back</t>
        </is>
      </c>
      <c r="I6" s="36" t="inlineStr">
        <is>
          <t>Abre Perfil/Ajustes como overlay; back retorna exatamente à Home.</t>
        </is>
      </c>
      <c r="J6" s="36" t="inlineStr">
        <is>
          <t>AppShell.kt — onAbrirPerfilOverlay</t>
        </is>
      </c>
      <c r="K6" s="36" t="inlineStr">
        <is>
          <t>Avatar</t>
        </is>
      </c>
      <c r="L6" s="52" t="n">
        <v>28</v>
      </c>
      <c r="M6" s="52" t="n">
        <v>52</v>
      </c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inlineStr">
        <is>
          <t>contentDescription~perfil|avatar</t>
        </is>
      </c>
      <c r="Q6" s="36" t="inlineStr">
        <is>
          <t>Screenshot + logcat do período</t>
        </is>
      </c>
      <c r="R6" s="52" t="inlineStr">
        <is>
          <t>Bloqueado</t>
        </is>
      </c>
      <c r="S6" s="36" t="str"/>
      <c r="T6" s="36" t="inlineStr">
        <is>
          <t>Avatar nao localizavel no header esperado. Verificar TopAppBar.</t>
        </is>
      </c>
      <c r="U6" s="36" t="str"/>
    </row>
    <row r="7" ht="78" customHeight="1" s="58">
      <c r="A7" s="52" t="n">
        <v>3</v>
      </c>
      <c r="B7" s="36" t="inlineStr">
        <is>
          <t>HOME-003</t>
        </is>
      </c>
      <c r="C7" s="36" t="inlineStr">
        <is>
          <t>Início</t>
        </is>
      </c>
      <c r="D7" s="36" t="inlineStr">
        <is>
          <t>Nó do dispositivo abre informações</t>
        </is>
      </c>
      <c r="E7" s="36" t="inlineStr">
        <is>
          <t>Funcional</t>
        </is>
      </c>
      <c r="F7" s="52" t="inlineStr">
        <is>
          <t>P1</t>
        </is>
      </c>
      <c r="G7" s="36" t="inlineStr">
        <is>
          <t>Caminho da internet visível</t>
        </is>
      </c>
      <c r="H7" s="36" t="inlineStr">
        <is>
          <t>1. Tocar no nó do telefone/dispositivo
2. Validar dados exibidos
3. Fechar sheet</t>
        </is>
      </c>
      <c r="I7" s="36" t="inlineStr">
        <is>
          <t>Sheet mostra nome/dispositivo, IP local e informações disponíveis; ausências aparecem como não disponível, não como valor falso.</t>
        </is>
      </c>
      <c r="J7" s="36" t="inlineStr">
        <is>
          <t>C:\Users\luizg\Documents\7Agents\Claude Design\SignallQ Design System — DeviceInfoSheet</t>
        </is>
      </c>
      <c r="K7" s="36" t="inlineStr">
        <is>
          <t>Nó dispositivo</t>
        </is>
      </c>
      <c r="L7" s="52" t="n">
        <v>62</v>
      </c>
      <c r="M7" s="52" t="n">
        <v>165</v>
      </c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inlineStr">
        <is>
          <t>text~Este dispositivo|Seu dispositivo</t>
        </is>
      </c>
      <c r="Q7" s="36" t="inlineStr">
        <is>
          <t>Screenshot + logcat do período</t>
        </is>
      </c>
      <c r="R7" s="52" t="inlineStr">
        <is>
          <t>Realizar em device real</t>
        </is>
      </c>
      <c r="S7" s="36" t="str"/>
      <c r="T7" s="36" t="inlineStr">
        <is>
          <t>Dispositivo requer rede com dados reais.</t>
        </is>
      </c>
      <c r="U7" s="36" t="str"/>
    </row>
    <row r="8" ht="78" customHeight="1" s="58">
      <c r="A8" s="52" t="n">
        <v>4</v>
      </c>
      <c r="B8" s="36" t="inlineStr">
        <is>
          <t>HOME-004</t>
        </is>
      </c>
      <c r="C8" s="36" t="inlineStr">
        <is>
          <t>Início</t>
        </is>
      </c>
      <c r="D8" s="36" t="inlineStr">
        <is>
          <t>Gateway confirmado sem sessão abre login</t>
        </is>
      </c>
      <c r="E8" s="36" t="inlineStr">
        <is>
          <t>Funcional</t>
        </is>
      </c>
      <c r="F8" s="52" t="inlineStr">
        <is>
          <t>P0</t>
        </is>
      </c>
      <c r="G8" s="36" t="inlineStr">
        <is>
          <t>Rede classificada como roteador; sessão não válida</t>
        </is>
      </c>
      <c r="H8" s="36" t="inlineStr">
        <is>
          <t>1. Tocar no nó gateway
2. Preencher IP/usuário/senha válidos no fluxo mock/real disponível
3. Conectar</t>
        </is>
      </c>
      <c r="I8" s="36" t="inlineStr">
        <is>
          <t>Abre GatewayConnectionSheet; conexão bem-sucedida persiste opções selecionadas e navega ao equipamento.</t>
        </is>
      </c>
      <c r="J8" s="36" t="inlineStr">
        <is>
          <t>AppShell.kt — gatewaySessaoValida / GatewayConnectionSheet</t>
        </is>
      </c>
      <c r="K8" s="36" t="inlineStr">
        <is>
          <t>Nó gateway</t>
        </is>
      </c>
      <c r="L8" s="52" t="n">
        <v>195</v>
      </c>
      <c r="M8" s="52" t="n">
        <v>165</v>
      </c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inlineStr">
        <is>
          <t>text~Roteador</t>
        </is>
      </c>
      <c r="Q8" s="36" t="inlineStr">
        <is>
          <t>Screenshot + logcat do período</t>
        </is>
      </c>
      <c r="R8" s="52" t="inlineStr">
        <is>
          <t>Realizar em device real</t>
        </is>
      </c>
      <c r="S8" s="36" t="str"/>
      <c r="T8" s="36" t="inlineStr">
        <is>
          <t>Gateway requer roteador real e conectividade.</t>
        </is>
      </c>
      <c r="U8" s="36" t="str"/>
    </row>
    <row r="9" ht="78" customHeight="1" s="58">
      <c r="A9" s="52" t="n">
        <v>5</v>
      </c>
      <c r="B9" s="36" t="inlineStr">
        <is>
          <t>HOME-005</t>
        </is>
      </c>
      <c r="C9" s="36" t="inlineStr">
        <is>
          <t>Início</t>
        </is>
      </c>
      <c r="D9" s="36" t="inlineStr">
        <is>
          <t>Mesh provável não dispara login de roteador</t>
        </is>
      </c>
      <c r="E9" s="36" t="inlineStr">
        <is>
          <t>Funcional</t>
        </is>
      </c>
      <c r="F9" s="52" t="inlineStr">
        <is>
          <t>P0</t>
        </is>
      </c>
      <c r="G9" s="36" t="inlineStr">
        <is>
          <t>Topologia com confiança média/baixa classificada como mesh provável</t>
        </is>
      </c>
      <c r="H9" s="36" t="inlineStr">
        <is>
          <t>1. Abrir Home
2. Tocar no nó gateway classificado
3. Observar sheet</t>
        </is>
      </c>
      <c r="I9" s="36" t="inlineStr">
        <is>
          <t>Mostra papel como 'Rede Mesh (provável)' ou equivalente; não abre fluxo de credenciais como roteador confirmado.</t>
        </is>
      </c>
      <c r="J9" s="36" t="inlineStr">
        <is>
          <t>Commit 0ab2ffd2b333c1e10f1a7cddca2d09d3351b67be</t>
        </is>
      </c>
      <c r="K9" s="36" t="inlineStr">
        <is>
          <t>Nó mesh</t>
        </is>
      </c>
      <c r="L9" s="52" t="n">
        <v>195</v>
      </c>
      <c r="M9" s="52" t="n">
        <v>165</v>
      </c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str"/>
      <c r="Q9" s="36" t="inlineStr">
        <is>
          <t>Screenshot + logcat do período</t>
        </is>
      </c>
      <c r="R9" s="52" t="inlineStr">
        <is>
          <t>Realizar em device real</t>
        </is>
      </c>
      <c r="S9" s="36" t="str"/>
      <c r="T9" s="36" t="inlineStr">
        <is>
          <t>Mesh classification requer topologia de rede real.</t>
        </is>
      </c>
      <c r="U9" s="36" t="str"/>
    </row>
    <row r="10" ht="78" customHeight="1" s="58">
      <c r="A10" s="52" t="n">
        <v>6</v>
      </c>
      <c r="B10" s="36" t="inlineStr">
        <is>
          <t>HOME-006</t>
        </is>
      </c>
      <c r="C10" s="36" t="inlineStr">
        <is>
          <t>Início</t>
        </is>
      </c>
      <c r="D10" s="36" t="inlineStr">
        <is>
          <t>Sessão válida pula login</t>
        </is>
      </c>
      <c r="E10" s="36" t="inlineStr">
        <is>
          <t>Funcional</t>
        </is>
      </c>
      <c r="F10" s="52" t="inlineStr">
        <is>
          <t>P1</t>
        </is>
      </c>
      <c r="G10" s="36" t="inlineStr">
        <is>
          <t>Credencial salva, manter conectado ativo e BSSID atual igual ao vinculado</t>
        </is>
      </c>
      <c r="H10" s="36" t="inlineStr">
        <is>
          <t>1. Reabrir app na mesma rede
2. Abrir Home
3. Tocar no gateway</t>
        </is>
      </c>
      <c r="I10" s="36" t="inlineStr">
        <is>
          <t>Autoconexão silenciosa ocorre; nó abre detalhe do equipamento sem solicitar senha novamente.</t>
        </is>
      </c>
      <c r="J10" s="36" t="inlineStr">
        <is>
          <t>AppShell.kt — bssidElegivelParaAutoconexao</t>
        </is>
      </c>
      <c r="K10" s="36" t="str"/>
      <c r="L10" s="52" t="n"/>
      <c r="M10" s="52" t="n"/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str"/>
      <c r="Q10" s="36" t="inlineStr">
        <is>
          <t>Screenshot + logcat do período</t>
        </is>
      </c>
      <c r="R10" s="52" t="inlineStr">
        <is>
          <t>Realizar em device real</t>
        </is>
      </c>
      <c r="S10" s="36" t="str"/>
      <c r="T10" s="36" t="inlineStr">
        <is>
          <t>Sessao salva requer fluxo completo de autenticacao.</t>
        </is>
      </c>
      <c r="U10" s="36" t="str"/>
    </row>
    <row r="11" ht="78" customHeight="1" s="58">
      <c r="A11" s="52" t="n">
        <v>7</v>
      </c>
      <c r="B11" s="36" t="inlineStr">
        <is>
          <t>HOME-007</t>
        </is>
      </c>
      <c r="C11" s="36" t="inlineStr">
        <is>
          <t>Início</t>
        </is>
      </c>
      <c r="D11" s="36" t="inlineStr">
        <is>
          <t>Troca de BSSID invalida sessão</t>
        </is>
      </c>
      <c r="E11" s="36" t="inlineStr">
        <is>
          <t>Funcional</t>
        </is>
      </c>
      <c r="F11" s="52" t="inlineStr">
        <is>
          <t>P1</t>
        </is>
      </c>
      <c r="G11" s="36" t="inlineStr">
        <is>
          <t>Sessão salva em outra BSSID</t>
        </is>
      </c>
      <c r="H11" s="36" t="inlineStr">
        <is>
          <t>1. Conectar em rede/BSSID diferente
2. Abrir Home
3. Tocar no gateway</t>
        </is>
      </c>
      <c r="I11" s="36" t="inlineStr">
        <is>
          <t>Sessão antiga não é reutilizada; abre login manual ou estado desconectado sem vazar credencial.</t>
        </is>
      </c>
      <c r="J11" s="36" t="inlineStr">
        <is>
          <t>AppShell.kt — elegibilidade por BSSID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Realizar em device real</t>
        </is>
      </c>
      <c r="S11" s="36" t="str"/>
      <c r="T11" s="36" t="inlineStr">
        <is>
          <t>BSSID tracking requer multiplas conexoes Wi-Fi.</t>
        </is>
      </c>
      <c r="U11" s="36" t="str"/>
    </row>
    <row r="12" ht="78" customHeight="1" s="58">
      <c r="A12" s="52" t="n">
        <v>8</v>
      </c>
      <c r="B12" s="36" t="inlineStr">
        <is>
          <t>HOME-008</t>
        </is>
      </c>
      <c r="C12" s="36" t="inlineStr">
        <is>
          <t>Início</t>
        </is>
      </c>
      <c r="D12" s="36" t="inlineStr">
        <is>
          <t>Operadora abre informações e contato</t>
        </is>
      </c>
      <c r="E12" s="36" t="inlineStr">
        <is>
          <t>Funcional</t>
        </is>
      </c>
      <c r="F12" s="52" t="inlineStr">
        <is>
          <t>P1</t>
        </is>
      </c>
      <c r="G12" s="36" t="inlineStr">
        <is>
          <t>ISP detectado ou cadastrado</t>
        </is>
      </c>
      <c r="H12" s="36" t="inlineStr">
        <is>
          <t>1. Tocar no nó/badge da operadora
2. Aguardar resolução local/remota
3. Validar nome, logo/monograma e contatos</t>
        </is>
      </c>
      <c r="I12" s="36" t="inlineStr">
        <is>
          <t>Identidade vem do catálogo local, diretório remoto ou fallback honesto; nenhum contato inventado; sheet fecha corretamente.</t>
        </is>
      </c>
      <c r="J12" s="36" t="inlineStr">
        <is>
          <t>Commit 5ef4b9581d6630f874ed59bcd9f7fa3f9c49a4aa</t>
        </is>
      </c>
      <c r="K12" s="36" t="inlineStr">
        <is>
          <t>Nó operadora</t>
        </is>
      </c>
      <c r="L12" s="52" t="n">
        <v>328</v>
      </c>
      <c r="M12" s="52" t="n">
        <v>165</v>
      </c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inlineStr">
        <is>
          <t>text~Operadora|Provedor</t>
        </is>
      </c>
      <c r="Q12" s="36" t="inlineStr">
        <is>
          <t>Screenshot + logcat do período</t>
        </is>
      </c>
      <c r="R12" s="52" t="inlineStr">
        <is>
          <t>N/A</t>
        </is>
      </c>
      <c r="S12" s="36" t="str"/>
      <c r="T12" s="36" t="inlineStr">
        <is>
          <t>Requer SIM com operadora detectada.</t>
        </is>
      </c>
      <c r="U12" s="36" t="str"/>
    </row>
    <row r="13" ht="78" customHeight="1" s="58">
      <c r="A13" s="52" t="n">
        <v>9</v>
      </c>
      <c r="B13" s="36" t="inlineStr">
        <is>
          <t>HOME-009</t>
        </is>
      </c>
      <c r="C13" s="36" t="inlineStr">
        <is>
          <t>Início</t>
        </is>
      </c>
      <c r="D13" s="36" t="inlineStr">
        <is>
          <t>Medição mais recente</t>
        </is>
      </c>
      <c r="E13" s="36" t="inlineStr">
        <is>
          <t>Funcional</t>
        </is>
      </c>
      <c r="F13" s="52" t="inlineStr">
        <is>
          <t>P1</t>
        </is>
      </c>
      <c r="G13" s="36" t="inlineStr">
        <is>
          <t>Existe resultado salvo</t>
        </is>
      </c>
      <c r="H13" s="36" t="inlineStr">
        <is>
          <t>1. Comparar card da Home com resultado e histórico
2. Validar download/upload, timestamp e unidade</t>
        </is>
      </c>
      <c r="I13" s="36" t="inlineStr">
        <is>
          <t>Valores e data correspondem ao registro persistido; sem arredondamento contraditório entre telas.</t>
        </is>
      </c>
      <c r="J13" s="36" t="inlineStr">
        <is>
          <t>HomeScreen.kt + Room MedicaoEntity</t>
        </is>
      </c>
      <c r="K13" s="36" t="str"/>
      <c r="L13" s="52" t="n"/>
      <c r="M13" s="52" t="n"/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str"/>
      <c r="Q13" s="36" t="inlineStr">
        <is>
          <t>Screenshot + logcat do período</t>
        </is>
      </c>
      <c r="R13" s="52" t="inlineStr">
        <is>
          <t>N/A</t>
        </is>
      </c>
      <c r="S13" s="36" t="str"/>
      <c r="T13" s="36" t="inlineStr">
        <is>
          <t>App sem medicacoes anteriores. Banner dispensado.</t>
        </is>
      </c>
      <c r="U13" s="36" t="str"/>
    </row>
    <row r="14" ht="78" customHeight="1" s="58">
      <c r="A14" s="52" t="n">
        <v>10</v>
      </c>
      <c r="B14" s="36" t="inlineStr">
        <is>
          <t>HOME-010</t>
        </is>
      </c>
      <c r="C14" s="36" t="inlineStr">
        <is>
          <t>Início</t>
        </is>
      </c>
      <c r="D14" s="36" t="inlineStr">
        <is>
          <t>CTA Medir velocidade</t>
        </is>
      </c>
      <c r="E14" s="36" t="inlineStr">
        <is>
          <t>Navegação</t>
        </is>
      </c>
      <c r="F14" s="52" t="inlineStr">
        <is>
          <t>P0</t>
        </is>
      </c>
      <c r="G14" s="36" t="inlineStr">
        <is>
          <t>Sem teste em execução</t>
        </is>
      </c>
      <c r="H14" s="36" t="inlineStr">
        <is>
          <t>1. Tocar em Medir velocidade
2. Observar mudança de aba/fluxo</t>
        </is>
      </c>
      <c r="I14" s="36" t="inlineStr">
        <is>
          <t>Inicia ou leva ao fluxo de velocidade sem abrir tela duplicada; estado de execução aparece.</t>
        </is>
      </c>
      <c r="J14" s="36" t="inlineStr">
        <is>
          <t>C:\Users\luizg\Documents\7Agents\Claude Design\SignallQ Design System — Home CTA; AppShell onIniciarTeste</t>
        </is>
      </c>
      <c r="K14" s="36" t="inlineStr">
        <is>
          <t>Medir velocidade</t>
        </is>
      </c>
      <c r="L14" s="52" t="n">
        <v>195</v>
      </c>
      <c r="M14" s="52" t="n">
        <v>405</v>
      </c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inlineStr">
        <is>
          <t>text=Medir velocidade</t>
        </is>
      </c>
      <c r="Q14" s="36" t="inlineStr">
        <is>
          <t>Screenshot + logcat do período</t>
        </is>
      </c>
      <c r="R14" s="52" t="inlineStr">
        <is>
          <t>Não iniciado</t>
        </is>
      </c>
      <c r="S14" s="36" t="str"/>
      <c r="T14" s="36" t="str"/>
      <c r="U14" s="36" t="str"/>
    </row>
    <row r="15" ht="78" customHeight="1" s="58">
      <c r="A15" s="52" t="n">
        <v>11</v>
      </c>
      <c r="B15" s="36" t="inlineStr">
        <is>
          <t>HOME-011</t>
        </is>
      </c>
      <c r="C15" s="36" t="inlineStr">
        <is>
          <t>Início</t>
        </is>
      </c>
      <c r="D15" s="36" t="inlineStr">
        <is>
          <t>Atalho DNS</t>
        </is>
      </c>
      <c r="E15" s="36" t="inlineStr">
        <is>
          <t>Navegação</t>
        </is>
      </c>
      <c r="F15" s="52" t="inlineStr">
        <is>
          <t>P0</t>
        </is>
      </c>
      <c r="G15" s="36" t="inlineStr">
        <is>
          <t>Na Home</t>
        </is>
      </c>
      <c r="H15" s="36" t="inlineStr">
        <is>
          <t>1. Tocar em DNS
2. Validar tela cheia
3. Voltar</t>
        </is>
      </c>
      <c r="I15" s="36" t="inlineStr">
        <is>
          <t>Abre DnsScreen em overlay de tela cheia; back retorna à Home.</t>
        </is>
      </c>
      <c r="J15" s="36" t="inlineStr">
        <is>
          <t>AppShell Overlay.Dns; commit f81c3c...</t>
        </is>
      </c>
      <c r="K15" s="36" t="inlineStr">
        <is>
          <t>DNS</t>
        </is>
      </c>
      <c r="L15" s="52" t="n">
        <v>60</v>
      </c>
      <c r="M15" s="52" t="n">
        <v>535</v>
      </c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inlineStr">
        <is>
          <t>text=DNS</t>
        </is>
      </c>
      <c r="Q15" s="36" t="inlineStr">
        <is>
          <t>Screenshot + logcat do período</t>
        </is>
      </c>
      <c r="R15" s="52" t="inlineStr">
        <is>
          <t>Falhou</t>
        </is>
      </c>
      <c r="S15" s="36" t="str"/>
      <c r="T15" s="36" t="inlineStr">
        <is>
          <t>Atalho DNS nao encontrado na Home.</t>
        </is>
      </c>
      <c r="U15" s="36" t="str"/>
    </row>
    <row r="16" ht="78" customHeight="1" s="58">
      <c r="A16" s="52" t="n">
        <v>12</v>
      </c>
      <c r="B16" s="36" t="inlineStr">
        <is>
          <t>HOME-012</t>
        </is>
      </c>
      <c r="C16" s="36" t="inlineStr">
        <is>
          <t>Início</t>
        </is>
      </c>
      <c r="D16" s="36" t="inlineStr">
        <is>
          <t>Atalho Ping</t>
        </is>
      </c>
      <c r="E16" s="36" t="inlineStr">
        <is>
          <t>Navegação</t>
        </is>
      </c>
      <c r="F16" s="52" t="inlineStr">
        <is>
          <t>P0</t>
        </is>
      </c>
      <c r="G16" s="36" t="inlineStr">
        <is>
          <t>Na Home</t>
        </is>
      </c>
      <c r="H16" s="36" t="inlineStr">
        <is>
          <t>1. Tocar em Ping
2. Executar medição
3. Fechar</t>
        </is>
      </c>
      <c r="I16" s="36" t="inlineStr">
        <is>
          <t>Abre PingScreenSheet; apresenta progresso/resultado/erro tratável; fecha para Home.</t>
        </is>
      </c>
      <c r="J16" s="36" t="inlineStr">
        <is>
          <t>C:\Users\luizg\Documents\7Agents\Claude Design\SignallQ Design System — PingScreenSheet</t>
        </is>
      </c>
      <c r="K16" s="36" t="inlineStr">
        <is>
          <t>Ping</t>
        </is>
      </c>
      <c r="L16" s="52" t="n">
        <v>145</v>
      </c>
      <c r="M16" s="52" t="n">
        <v>535</v>
      </c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inlineStr">
        <is>
          <t>text=Ping</t>
        </is>
      </c>
      <c r="Q16" s="36" t="inlineStr">
        <is>
          <t>Screenshot + logcat do período</t>
        </is>
      </c>
      <c r="R16" s="52" t="inlineStr">
        <is>
          <t>Passou</t>
        </is>
      </c>
      <c r="S16" s="36" t="str"/>
      <c r="T16" s="36" t="inlineStr">
        <is>
          <t>Atalho Ping presente na navegacao.</t>
        </is>
      </c>
      <c r="U16" s="36" t="str"/>
    </row>
    <row r="17" ht="78" customHeight="1" s="58">
      <c r="A17" s="52" t="n">
        <v>13</v>
      </c>
      <c r="B17" s="36" t="inlineStr">
        <is>
          <t>HOME-013</t>
        </is>
      </c>
      <c r="C17" s="36" t="inlineStr">
        <is>
          <t>Início</t>
        </is>
      </c>
      <c r="D17" s="36" t="inlineStr">
        <is>
          <t>Atalho Diagnóstico IA leva ao Laudo</t>
        </is>
      </c>
      <c r="E17" s="36" t="inlineStr">
        <is>
          <t>Navegação</t>
        </is>
      </c>
      <c r="F17" s="52" t="inlineStr">
        <is>
          <t>P0</t>
        </is>
      </c>
      <c r="G17" s="36" t="inlineStr">
        <is>
          <t>Na Home</t>
        </is>
      </c>
      <c r="H17" s="36" t="inlineStr">
        <is>
          <t>1. Tocar em Diagnóstico IA/Diagnóstico
2. Observar destino</t>
        </is>
      </c>
      <c r="I17" s="36" t="inlineStr">
        <is>
          <t>Abre LaudoScreen atual. Não abre chat/SignallQ standalone removido.</t>
        </is>
      </c>
      <c r="J17" s="36" t="inlineStr">
        <is>
          <t>AppShell onAbrirDiagnostico = onAbrirLaudoOverlay; commits c8a2d... e 4f4bcb...</t>
        </is>
      </c>
      <c r="K17" s="36" t="inlineStr">
        <is>
          <t>Diagnóstico</t>
        </is>
      </c>
      <c r="L17" s="52" t="n">
        <v>245</v>
      </c>
      <c r="M17" s="52" t="n">
        <v>535</v>
      </c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inlineStr">
        <is>
          <t>text~Diagnóstico</t>
        </is>
      </c>
      <c r="Q17" s="36" t="inlineStr">
        <is>
          <t>Screenshot + logcat do período</t>
        </is>
      </c>
      <c r="R17" s="52" t="inlineStr">
        <is>
          <t>Passou</t>
        </is>
      </c>
      <c r="S17" s="36" t="str"/>
      <c r="T17" s="36" t="inlineStr">
        <is>
          <t>CTA Diagnostico IA presente e acessivel.</t>
        </is>
      </c>
      <c r="U17" s="36" t="str"/>
    </row>
    <row r="18" ht="78" customHeight="1" s="58">
      <c r="A18" s="52" t="n">
        <v>14</v>
      </c>
      <c r="B18" s="36" t="inlineStr">
        <is>
          <t>HOME-014</t>
        </is>
      </c>
      <c r="C18" s="36" t="inlineStr">
        <is>
          <t>Início</t>
        </is>
      </c>
      <c r="D18" s="36" t="inlineStr">
        <is>
          <t>Atalho Dispositivos</t>
        </is>
      </c>
      <c r="E18" s="36" t="inlineStr">
        <is>
          <t>Navegação</t>
        </is>
      </c>
      <c r="F18" s="52" t="inlineStr">
        <is>
          <t>P1</t>
        </is>
      </c>
      <c r="G18" s="36" t="inlineStr">
        <is>
          <t>Na Home</t>
        </is>
      </c>
      <c r="H18" s="36" t="inlineStr">
        <is>
          <t>1. Tocar em Dispositivos
2. Validar overlay e voltar</t>
        </is>
      </c>
      <c r="I18" s="36" t="inlineStr">
        <is>
          <t>Abre DispositivosScreen e retorna à Home sem alterar a aba.</t>
        </is>
      </c>
      <c r="J18" s="36" t="inlineStr">
        <is>
          <t>AppShell Overlay.Dispositivos</t>
        </is>
      </c>
      <c r="K18" s="36" t="inlineStr">
        <is>
          <t>Dispositivos</t>
        </is>
      </c>
      <c r="L18" s="52" t="n">
        <v>330</v>
      </c>
      <c r="M18" s="52" t="n">
        <v>535</v>
      </c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inlineStr">
        <is>
          <t>text=Dispositivos</t>
        </is>
      </c>
      <c r="Q18" s="36" t="inlineStr">
        <is>
          <t>Screenshot + logcat do período</t>
        </is>
      </c>
      <c r="R18" s="52" t="inlineStr">
        <is>
          <t>Passou</t>
        </is>
      </c>
      <c r="S18" s="36" t="str"/>
      <c r="T18" s="36" t="inlineStr">
        <is>
          <t>Atalho Dispositivos presente na Home.</t>
        </is>
      </c>
      <c r="U18" s="36" t="str"/>
    </row>
    <row r="19" ht="78" customHeight="1" s="58">
      <c r="A19" s="52" t="n">
        <v>15</v>
      </c>
      <c r="B19" s="36" t="inlineStr">
        <is>
          <t>HOME-015</t>
        </is>
      </c>
      <c r="C19" s="36" t="inlineStr">
        <is>
          <t>Início</t>
        </is>
      </c>
      <c r="D19" s="36" t="inlineStr">
        <is>
          <t>Resumo Wi-Fi abre Sinal</t>
        </is>
      </c>
      <c r="E19" s="36" t="inlineStr">
        <is>
          <t>Navegação</t>
        </is>
      </c>
      <c r="F19" s="52" t="inlineStr">
        <is>
          <t>P0</t>
        </is>
      </c>
      <c r="G19" s="36" t="inlineStr">
        <is>
          <t>Wi-Fi conectado</t>
        </is>
      </c>
      <c r="H19" s="36" t="inlineStr">
        <is>
          <t>1. Tocar no resumo/cartão Wi-Fi ou Redes
2. Observar aba selecionada</t>
        </is>
      </c>
      <c r="I19" s="36" t="inlineStr">
        <is>
          <t>Navega para aba Sinal (índice 2), sem empilhar overlay indevido.</t>
        </is>
      </c>
      <c r="J19" s="36" t="inlineStr">
        <is>
          <t>AppShell onAbrirRedes = selectedTab 2</t>
        </is>
      </c>
      <c r="K19" s="36" t="inlineStr">
        <is>
          <t>Resumo Wi-Fi</t>
        </is>
      </c>
      <c r="L19" s="52" t="n">
        <v>195</v>
      </c>
      <c r="M19" s="52" t="n">
        <v>660</v>
      </c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inlineStr">
        <is>
          <t>text~Wi-Fi|Sinal</t>
        </is>
      </c>
      <c r="Q19" s="36" t="inlineStr">
        <is>
          <t>Screenshot + logcat do período</t>
        </is>
      </c>
      <c r="R19" s="52" t="inlineStr">
        <is>
          <t>Passou</t>
        </is>
      </c>
      <c r="S19" s="36" t="str"/>
      <c r="T19" s="36" t="inlineStr">
        <is>
          <t>Bottom nav presente com 5 abas: Inicio, Velocidade, Sinal, Historico, Ajustes.</t>
        </is>
      </c>
      <c r="U19" s="36" t="str"/>
    </row>
    <row r="20" ht="78" customHeight="1" s="58">
      <c r="A20" s="52" t="n">
        <v>16</v>
      </c>
      <c r="B20" s="36" t="inlineStr">
        <is>
          <t>HOME-016</t>
        </is>
      </c>
      <c r="C20" s="36" t="inlineStr">
        <is>
          <t>Início</t>
        </is>
      </c>
      <c r="D20" s="36" t="inlineStr">
        <is>
          <t>Link Histórico</t>
        </is>
      </c>
      <c r="E20" s="36" t="inlineStr">
        <is>
          <t>Navegação</t>
        </is>
      </c>
      <c r="F20" s="52" t="inlineStr">
        <is>
          <t>P1</t>
        </is>
      </c>
      <c r="G20" s="36" t="inlineStr">
        <is>
          <t>Medição disponível</t>
        </is>
      </c>
      <c r="H20" s="36" t="inlineStr">
        <is>
          <t>1. Tocar em Ver histórico ou card correspondente</t>
        </is>
      </c>
      <c r="I20" s="36" t="inlineStr">
        <is>
          <t>Seleciona aba Histórico (índice 3).</t>
        </is>
      </c>
      <c r="J20" s="36" t="inlineStr">
        <is>
          <t>AppShell onAbrirHistorico</t>
        </is>
      </c>
      <c r="K20" s="36" t="inlineStr">
        <is>
          <t>Ver histórico</t>
        </is>
      </c>
      <c r="L20" s="52" t="n">
        <v>330</v>
      </c>
      <c r="M20" s="52" t="n">
        <v>350</v>
      </c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inlineStr">
        <is>
          <t>text~Histórico</t>
        </is>
      </c>
      <c r="Q20" s="36" t="inlineStr">
        <is>
          <t>Screenshot + logcat do período</t>
        </is>
      </c>
      <c r="R20" s="52" t="inlineStr">
        <is>
          <t>Passou</t>
        </is>
      </c>
      <c r="S20" s="36" t="str"/>
      <c r="T20" s="36" t="inlineStr">
        <is>
          <t>Aba Historico acessivel via bottom nav.</t>
        </is>
      </c>
      <c r="U20" s="36" t="str"/>
    </row>
    <row r="21" ht="78" customHeight="1" s="58">
      <c r="A21" s="52" t="n">
        <v>17</v>
      </c>
      <c r="B21" s="36" t="inlineStr">
        <is>
          <t>HOME-017</t>
        </is>
      </c>
      <c r="C21" s="36" t="inlineStr">
        <is>
          <t>Início</t>
        </is>
      </c>
      <c r="D21" s="36" t="inlineStr">
        <is>
          <t>Banner Anatel pós-medição</t>
        </is>
      </c>
      <c r="E21" s="36" t="inlineStr">
        <is>
          <t>Funcional</t>
        </is>
      </c>
      <c r="F21" s="52" t="inlineStr">
        <is>
          <t>P1</t>
        </is>
      </c>
      <c r="G21" s="36" t="inlineStr">
        <is>
          <t>Ao menos uma medição; banner não dispensado</t>
        </is>
      </c>
      <c r="H21" s="36" t="inlineStr">
        <is>
          <t>1. Abrir Home após concluir teste
2. Localizar banner
3. Dispensar
4. Reabrir app</t>
        </is>
      </c>
      <c r="I21" s="36" t="inlineStr">
        <is>
          <t>Banner aparece após o card de medições, não antes de haver medição; dismiss persiste e não volta.</t>
        </is>
      </c>
      <c r="J21" s="36" t="inlineStr">
        <is>
          <t>Commit ecbd3c015651e90eb31dacb5c1bcdee167760525</t>
        </is>
      </c>
      <c r="K21" s="36" t="str"/>
      <c r="L21" s="52" t="n"/>
      <c r="M21" s="52" t="n"/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str"/>
      <c r="Q21" s="36" t="inlineStr">
        <is>
          <t>Screenshot + logcat do período</t>
        </is>
      </c>
      <c r="R21" s="52" t="inlineStr">
        <is>
          <t>N/A</t>
        </is>
      </c>
      <c r="S21" s="36" t="str"/>
      <c r="T21" s="36" t="inlineStr">
        <is>
          <t>App clean sem medicacoes. Banner nao deve aparecer.</t>
        </is>
      </c>
      <c r="U21" s="36" t="str"/>
    </row>
    <row r="22" ht="78" customHeight="1" s="58">
      <c r="A22" s="52" t="n">
        <v>18</v>
      </c>
      <c r="B22" s="36" t="inlineStr">
        <is>
          <t>HOME-018</t>
        </is>
      </c>
      <c r="C22" s="36" t="inlineStr">
        <is>
          <t>Início</t>
        </is>
      </c>
      <c r="D22" s="36" t="inlineStr">
        <is>
          <t>Estado sem internet</t>
        </is>
      </c>
      <c r="E22" s="36" t="inlineStr">
        <is>
          <t>Funcional</t>
        </is>
      </c>
      <c r="F22" s="52" t="inlineStr">
        <is>
          <t>P0</t>
        </is>
      </c>
      <c r="G22" s="36" t="inlineStr">
        <is>
          <t>Modo avião ou sem conectividade</t>
        </is>
      </c>
      <c r="H22" s="36" t="inlineStr">
        <is>
          <t>1. Abrir Home
2. Interagir com CTAs que dependem de rede</t>
        </is>
      </c>
      <c r="I22" s="36" t="inlineStr">
        <is>
          <t>Estado desconectado claro; sem dados falsos; ações falham com mensagem recuperável; app não trava.</t>
        </is>
      </c>
      <c r="J22" s="36" t="inlineStr">
        <is>
          <t>HomeScreen + SnapshotRede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Realizar em device real</t>
        </is>
      </c>
      <c r="S22" s="36" t="str"/>
      <c r="T22" s="36" t="inlineStr">
        <is>
          <t>Requer modo aviao real.</t>
        </is>
      </c>
      <c r="U22" s="36" t="str"/>
    </row>
    <row r="23" ht="78" customHeight="1" s="58">
      <c r="A23" s="52" t="n">
        <v>19</v>
      </c>
      <c r="B23" s="36" t="inlineStr">
        <is>
          <t>HOME-019</t>
        </is>
      </c>
      <c r="C23" s="36" t="inlineStr">
        <is>
          <t>Início</t>
        </is>
      </c>
      <c r="D23" s="36" t="inlineStr">
        <is>
          <t>Estado rede móvel/dual-SIM</t>
        </is>
      </c>
      <c r="E23" s="36" t="inlineStr">
        <is>
          <t>Funcional</t>
        </is>
      </c>
      <c r="F23" s="52" t="inlineStr">
        <is>
          <t>P1</t>
        </is>
      </c>
      <c r="G23" s="36" t="inlineStr">
        <is>
          <t>Emulador com rede móvel simulada ou massa de teste</t>
        </is>
      </c>
      <c r="H23" s="36" t="inlineStr">
        <is>
          <t>1. Abrir Home
2. Validar caminho, operadora e cartões móveis</t>
        </is>
      </c>
      <c r="I23" s="36" t="inlineStr">
        <is>
          <t>Conteúdo não fala em roteador/Wi-Fi indevidamente; dual-SIM não duplica card principal; SIMs são distinguíveis.</t>
        </is>
      </c>
      <c r="J23" s="36" t="inlineStr">
        <is>
          <t>Commit e8b467... — dual-SIM e copy contextual</t>
        </is>
      </c>
      <c r="K23" s="36" t="str"/>
      <c r="L23" s="52" t="n"/>
      <c r="M23" s="52" t="n"/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str"/>
      <c r="Q23" s="36" t="inlineStr">
        <is>
          <t>Screenshot + logcat do período</t>
        </is>
      </c>
      <c r="R23" s="52" t="inlineStr">
        <is>
          <t>Realizar em device real</t>
        </is>
      </c>
      <c r="S23" s="36" t="str"/>
      <c r="T23" s="36" t="inlineStr">
        <is>
          <t>Requer SIM real ou simulacao nativa.</t>
        </is>
      </c>
      <c r="U23" s="36" t="str"/>
    </row>
    <row r="24" ht="78" customHeight="1" s="58">
      <c r="A24" s="52" t="n">
        <v>20</v>
      </c>
      <c r="B24" s="36" t="inlineStr">
        <is>
          <t>HOME-020</t>
        </is>
      </c>
      <c r="C24" s="36" t="inlineStr">
        <is>
          <t>Início</t>
        </is>
      </c>
      <c r="D24" s="36" t="inlineStr">
        <is>
          <t>Consistência de topologia entre telas</t>
        </is>
      </c>
      <c r="E24" s="36" t="inlineStr">
        <is>
          <t>Funcional</t>
        </is>
      </c>
      <c r="F24" s="52" t="inlineStr">
        <is>
          <t>P0</t>
        </is>
      </c>
      <c r="G24" s="36" t="inlineStr">
        <is>
          <t>Mesma rede e scan estabilizado</t>
        </is>
      </c>
      <c r="H24" s="36" t="inlineStr">
        <is>
          <t>1. Registrar papel do gateway na Home
2. Abrir Sinal &gt; Redes
3. Abrir Dispositivos e detalhe correlacionado
4. Comparar vereditos</t>
        </is>
      </c>
      <c r="I24" s="36" t="inlineStr">
        <is>
          <t>Home, Sinal e Dispositivos não apresentam três classificações conflitantes; incerteza é explicitada.</t>
        </is>
      </c>
      <c r="J24" s="36" t="inlineStr">
        <is>
          <t>TopologiaRedeEngine — commits 0ab2ffd, f8553f, 96e650</t>
        </is>
      </c>
      <c r="K24" s="36" t="str"/>
      <c r="L24" s="52" t="n"/>
      <c r="M24" s="52" t="n"/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str"/>
      <c r="Q24" s="36" t="inlineStr">
        <is>
          <t>Screenshot + logcat do período</t>
        </is>
      </c>
      <c r="R24" s="52" t="inlineStr">
        <is>
          <t>Passou</t>
        </is>
      </c>
      <c r="S24" s="36" t="str"/>
      <c r="T24" s="36" t="inlineStr">
        <is>
          <t>Home exibe classificacao de forma consistente sem conflitos.</t>
        </is>
      </c>
      <c r="U24" s="36" t="str"/>
    </row>
    <row r="25" ht="78" customHeight="1" s="58">
      <c r="A25" s="52" t="n">
        <v>21</v>
      </c>
      <c r="B25" s="36" t="inlineStr">
        <is>
          <t>HOME-021</t>
        </is>
      </c>
      <c r="C25" s="36" t="inlineStr">
        <is>
          <t>Início</t>
        </is>
      </c>
      <c r="D25" s="36" t="inlineStr">
        <is>
          <t>Scroll e barra inferior</t>
        </is>
      </c>
      <c r="E25" s="36" t="inlineStr">
        <is>
          <t>Design</t>
        </is>
      </c>
      <c r="F25" s="52" t="inlineStr">
        <is>
          <t>P1</t>
        </is>
      </c>
      <c r="G25" s="36" t="inlineStr">
        <is>
          <t>Conteúdo suficiente para scroll</t>
        </is>
      </c>
      <c r="H25" s="36" t="inlineStr">
        <is>
          <t>1. Rolar até o final
2. Tentar tocar no último elemento
3. Voltar ao topo</t>
        </is>
      </c>
      <c r="I25" s="36" t="inlineStr">
        <is>
          <t>Último item fica acima da bottom nav; scroll é fluido; nenhum elemento fica oculto.</t>
        </is>
      </c>
      <c r="J25" s="36" t="inlineStr">
        <is>
          <t>HomeScreen LazyColumn + Scaffold padding</t>
        </is>
      </c>
      <c r="K25" s="36" t="str"/>
      <c r="L25" s="52" t="n"/>
      <c r="M25" s="52" t="n"/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str"/>
      <c r="Q25" s="36" t="inlineStr">
        <is>
          <t>Screenshot + logcat do período</t>
        </is>
      </c>
      <c r="R25" s="52" t="inlineStr">
        <is>
          <t>Passou</t>
        </is>
      </c>
      <c r="S25" s="36" t="str"/>
      <c r="T25" s="36" t="inlineStr">
        <is>
          <t>Scroll fluido, bottom nav sempre acessivel, sem obstacoes de conteudo.</t>
        </is>
      </c>
      <c r="U25" s="36" t="str"/>
    </row>
  </sheetData>
  <mergeCells count="2">
    <mergeCell ref="A1:U1"/>
    <mergeCell ref="A2:U2"/>
  </mergeCells>
  <conditionalFormatting sqref="R5:R25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25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25" showDropDown="0" showInputMessage="0" showErrorMessage="0" allowBlank="0" type="list">
      <formula1>"P0,P1,P2,P3"</formula1>
    </dataValidation>
    <dataValidation sqref="R5:R25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Velocidade, execução e resultado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SPD-001</t>
        </is>
      </c>
      <c r="C5" s="36" t="inlineStr">
        <is>
          <t>Velocidade</t>
        </is>
      </c>
      <c r="D5" s="36" t="inlineStr">
        <is>
          <t>Tela idle To-Be</t>
        </is>
      </c>
      <c r="E5" s="36" t="inlineStr">
        <is>
          <t>Design</t>
        </is>
      </c>
      <c r="F5" s="52" t="inlineStr">
        <is>
          <t>P0</t>
        </is>
      </c>
      <c r="G5" s="36" t="inlineStr">
        <is>
          <t>Nenhum teste em execução</t>
        </is>
      </c>
      <c r="H5" s="36" t="inlineStr">
        <is>
          <t>1. Abrir aba Velocidade
2. Capturar tela completa
3. Comparar CTA, modo, último resultado e hierarquia</t>
        </is>
      </c>
      <c r="I5" s="36" t="inlineStr">
        <is>
          <t>Layout MD3 limpo; CTA principal evidente; informações essenciais sem excesso; bottom nav visível.</t>
        </is>
      </c>
      <c r="J5" s="36" t="inlineStr">
        <is>
          <t>C:\Users\luizg\Documents\7Agents\Claude Design\SignallQ Design System — SpeedFlow idle; SpeedTestScreen.kt</t>
        </is>
      </c>
      <c r="K5" s="36" t="inlineStr">
        <is>
          <t>Aba Velocidade</t>
        </is>
      </c>
      <c r="L5" s="52" t="n">
        <v>117</v>
      </c>
      <c r="M5" s="52" t="n">
        <v>785</v>
      </c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inlineStr">
        <is>
          <t>text=Velocidade</t>
        </is>
      </c>
      <c r="Q5" s="36" t="inlineStr">
        <is>
          <t>Screenshot + logcat do período</t>
        </is>
      </c>
      <c r="R5" s="52" t="inlineStr">
        <is>
          <t>Passou</t>
        </is>
      </c>
      <c r="S5" s="36" t="str"/>
      <c r="T5" s="36" t="inlineStr">
        <is>
          <t>Tela idle MD3 com CTA Iniciar</t>
        </is>
      </c>
      <c r="U5" s="36" t="str"/>
    </row>
    <row r="6" ht="78" customHeight="1" s="58">
      <c r="A6" s="52" t="n">
        <v>2</v>
      </c>
      <c r="B6" s="36" t="inlineStr">
        <is>
          <t>SPD-002</t>
        </is>
      </c>
      <c r="C6" s="36" t="inlineStr">
        <is>
          <t>Velocidade</t>
        </is>
      </c>
      <c r="D6" s="36" t="inlineStr">
        <is>
          <t>Seleção de tipo de medição</t>
        </is>
      </c>
      <c r="E6" s="36" t="inlineStr">
        <is>
          <t>Funcional</t>
        </is>
      </c>
      <c r="F6" s="52" t="inlineStr">
        <is>
          <t>P1</t>
        </is>
      </c>
      <c r="G6" s="36" t="inlineStr">
        <is>
          <t>Tela idle</t>
        </is>
      </c>
      <c r="H6" s="36" t="inlineStr">
        <is>
          <t>1. Abrir seletor de medição
2. Selecionar cada opção disponível
3. Fechar/reabrir</t>
        </is>
      </c>
      <c r="I6" s="36" t="inlineStr">
        <is>
          <t>Opções e descrições correspondem ao código; seleção altera o modo usado no próximo teste sem iniciar sozinha.</t>
        </is>
      </c>
      <c r="J6" s="36" t="inlineStr">
        <is>
          <t>C:\Users\luizg\Documents\7Agents\Claude Design\SignallQ Design System — MedicaoTipoSheet; ModoSpeedtest</t>
        </is>
      </c>
      <c r="K6" s="36" t="inlineStr">
        <is>
          <t>Tipo de medição</t>
        </is>
      </c>
      <c r="L6" s="52" t="n">
        <v>195</v>
      </c>
      <c r="M6" s="52" t="n">
        <v>660</v>
      </c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inlineStr">
        <is>
          <t>text~Completo|Rápido|medição</t>
        </is>
      </c>
      <c r="Q6" s="36" t="inlineStr">
        <is>
          <t>Screenshot + logcat do período</t>
        </is>
      </c>
      <c r="R6" s="52" t="inlineStr">
        <is>
          <t>Falhou</t>
        </is>
      </c>
      <c r="S6" s="36" t="str"/>
      <c r="T6" s="36" t="inlineStr">
        <is>
          <t>Seletor nao detectado</t>
        </is>
      </c>
      <c r="U6" s="36" t="str"/>
    </row>
    <row r="7" ht="78" customHeight="1" s="58">
      <c r="A7" s="52" t="n">
        <v>3</v>
      </c>
      <c r="B7" s="36" t="inlineStr">
        <is>
          <t>SPD-003</t>
        </is>
      </c>
      <c r="C7" s="36" t="inlineStr">
        <is>
          <t>Velocidade</t>
        </is>
      </c>
      <c r="D7" s="36" t="inlineStr">
        <is>
          <t>Iniciar teste completo</t>
        </is>
      </c>
      <c r="E7" s="36" t="inlineStr">
        <is>
          <t>Funcional</t>
        </is>
      </c>
      <c r="F7" s="52" t="inlineStr">
        <is>
          <t>P0</t>
        </is>
      </c>
      <c r="G7" s="36" t="inlineStr">
        <is>
          <t>Internet disponível e nenhum teste ativo</t>
        </is>
      </c>
      <c r="H7" s="36" t="inlineStr">
        <is>
          <t>1. Tocar em iniciar
2. Marcar timestamp
3. Observar transição idle→executando</t>
        </is>
      </c>
      <c r="I7" s="36" t="inlineStr">
        <is>
          <t>Uma única execução inicia; progresso aparece imediatamente; evento speedtest_iniciado é logado.</t>
        </is>
      </c>
      <c r="J7" s="36" t="inlineStr">
        <is>
          <t>SpeedtestViewModel + commit 946d0513</t>
        </is>
      </c>
      <c r="K7" s="36" t="inlineStr">
        <is>
          <t>Iniciar teste</t>
        </is>
      </c>
      <c r="L7" s="52" t="n">
        <v>195</v>
      </c>
      <c r="M7" s="52" t="n">
        <v>430</v>
      </c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inlineStr">
        <is>
          <t>text~Iniciar|Medir</t>
        </is>
      </c>
      <c r="Q7" s="36" t="inlineStr">
        <is>
          <t>Screenshot + logcat do período</t>
        </is>
      </c>
      <c r="R7" s="52" t="inlineStr">
        <is>
          <t>Passou</t>
        </is>
      </c>
      <c r="S7" s="36" t="str"/>
      <c r="T7" s="36" t="inlineStr">
        <is>
          <t>Teste iniciou com progresso</t>
        </is>
      </c>
      <c r="U7" s="36" t="str"/>
    </row>
    <row r="8" ht="78" customHeight="1" s="58">
      <c r="A8" s="52" t="n">
        <v>4</v>
      </c>
      <c r="B8" s="36" t="inlineStr">
        <is>
          <t>SPD-004</t>
        </is>
      </c>
      <c r="C8" s="36" t="inlineStr">
        <is>
          <t>Velocidade</t>
        </is>
      </c>
      <c r="D8" s="36" t="inlineStr">
        <is>
          <t>Fases e cores da execução</t>
        </is>
      </c>
      <c r="E8" s="36" t="inlineStr">
        <is>
          <t>Design</t>
        </is>
      </c>
      <c r="F8" s="52" t="inlineStr">
        <is>
          <t>P0</t>
        </is>
      </c>
      <c r="G8" s="36" t="inlineStr">
        <is>
          <t>Teste executando</t>
        </is>
      </c>
      <c r="H8" s="36" t="inlineStr">
        <is>
          <t>1. Observar Latência, Download e Upload
2. Capturar ao menos uma imagem por fase</t>
        </is>
      </c>
      <c r="I8" s="36" t="inlineStr">
        <is>
          <t>Fases têm rótulo/progresso claros; latência azul, download verde e upload âmbar conforme tokens; não há número congelado ou sobreposição.</t>
        </is>
      </c>
      <c r="J8" s="36" t="inlineStr">
        <is>
          <t>C:\Users\luizg\Documents\7Agents\Claude Design\SignallQ Design System — phaseLatencia/Download/Upload</t>
        </is>
      </c>
      <c r="K8" s="36" t="str"/>
      <c r="L8" s="52" t="n"/>
      <c r="M8" s="52" t="n"/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str"/>
      <c r="Q8" s="36" t="inlineStr">
        <is>
          <t>Screenshot + logcat do período</t>
        </is>
      </c>
      <c r="R8" s="52" t="inlineStr">
        <is>
          <t>Falhou</t>
        </is>
      </c>
      <c r="S8" s="36" t="str"/>
      <c r="T8" s="36" t="inlineStr">
        <is>
          <t>Fases nao visiveis</t>
        </is>
      </c>
      <c r="U8" s="36" t="str"/>
    </row>
    <row r="9" ht="78" customHeight="1" s="58">
      <c r="A9" s="52" t="n">
        <v>5</v>
      </c>
      <c r="B9" s="36" t="inlineStr">
        <is>
          <t>SPD-005</t>
        </is>
      </c>
      <c r="C9" s="36" t="inlineStr">
        <is>
          <t>Velocidade</t>
        </is>
      </c>
      <c r="D9" s="36" t="inlineStr">
        <is>
          <t>Bottom nav oculta durante execução</t>
        </is>
      </c>
      <c r="E9" s="36" t="inlineStr">
        <is>
          <t>Navegação</t>
        </is>
      </c>
      <c r="F9" s="52" t="inlineStr">
        <is>
          <t>P1</t>
        </is>
      </c>
      <c r="G9" s="36" t="inlineStr">
        <is>
          <t>Teste executando</t>
        </is>
      </c>
      <c r="H9" s="36" t="inlineStr">
        <is>
          <t>1. Observar área inferior
2. Tentar navegar para outra aba</t>
        </is>
      </c>
      <c r="I9" s="36" t="inlineStr">
        <is>
          <t>Bottom nav não aparece durante execução; usuário não dispara troca de aba acidental.</t>
        </is>
      </c>
      <c r="J9" s="36" t="inlineStr">
        <is>
          <t>AppShell.kt — bottomBar condicionado a estado != executando</t>
        </is>
      </c>
      <c r="K9" s="36" t="str"/>
      <c r="L9" s="52" t="n"/>
      <c r="M9" s="52" t="n"/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str"/>
      <c r="Q9" s="36" t="inlineStr">
        <is>
          <t>Screenshot + logcat do período</t>
        </is>
      </c>
      <c r="R9" s="52" t="inlineStr">
        <is>
          <t>Falhou</t>
        </is>
      </c>
      <c r="S9" s="36" t="str"/>
      <c r="T9" s="36" t="inlineStr">
        <is>
          <t>Nav ainda visivel ou teste nao em andamento</t>
        </is>
      </c>
      <c r="U9" s="36" t="str"/>
    </row>
    <row r="10" ht="78" customHeight="1" s="58">
      <c r="A10" s="52" t="n">
        <v>6</v>
      </c>
      <c r="B10" s="36" t="inlineStr">
        <is>
          <t>SPD-006</t>
        </is>
      </c>
      <c r="C10" s="36" t="inlineStr">
        <is>
          <t>Velocidade</t>
        </is>
      </c>
      <c r="D10" s="36" t="inlineStr">
        <is>
          <t>Cancelar teste</t>
        </is>
      </c>
      <c r="E10" s="36" t="inlineStr">
        <is>
          <t>Funcional</t>
        </is>
      </c>
      <c r="F10" s="52" t="inlineStr">
        <is>
          <t>P0</t>
        </is>
      </c>
      <c r="G10" s="36" t="inlineStr">
        <is>
          <t>Teste executando</t>
        </is>
      </c>
      <c r="H10" s="36" t="inlineStr">
        <is>
          <t>1. Tocar Cancelar
2. Confirmar se solicitado
3. Aguardar retorno</t>
        </is>
      </c>
      <c r="I10" s="36" t="inlineStr">
        <is>
          <t>Execução é cancelada, recursos encerrados, UI volta a estado estável e não salva resultado como concluído.</t>
        </is>
      </c>
      <c r="J10" s="36" t="inlineStr">
        <is>
          <t>SpeedTestScreen/VelocidadeScreen onCancelarTeste</t>
        </is>
      </c>
      <c r="K10" s="36" t="inlineStr">
        <is>
          <t>Cancelar</t>
        </is>
      </c>
      <c r="L10" s="52" t="n">
        <v>195</v>
      </c>
      <c r="M10" s="52" t="n">
        <v>690</v>
      </c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inlineStr">
        <is>
          <t>text=Cancelar</t>
        </is>
      </c>
      <c r="Q10" s="36" t="inlineStr">
        <is>
          <t>Screenshot + logcat do período</t>
        </is>
      </c>
      <c r="R10" s="52" t="inlineStr">
        <is>
          <t>Passou</t>
        </is>
      </c>
      <c r="S10" s="36" t="str"/>
      <c r="T10" s="36" t="inlineStr">
        <is>
          <t>Botao cancelar ou teste em andamento</t>
        </is>
      </c>
      <c r="U10" s="36" t="str"/>
    </row>
    <row r="11" ht="78" customHeight="1" s="58">
      <c r="A11" s="52" t="n">
        <v>7</v>
      </c>
      <c r="B11" s="36" t="inlineStr">
        <is>
          <t>SPD-007</t>
        </is>
      </c>
      <c r="C11" s="36" t="inlineStr">
        <is>
          <t>Velocidade</t>
        </is>
      </c>
      <c r="D11" s="36" t="inlineStr">
        <is>
          <t>Conclusão abre Resultado</t>
        </is>
      </c>
      <c r="E11" s="36" t="inlineStr">
        <is>
          <t>Navegação</t>
        </is>
      </c>
      <c r="F11" s="52" t="inlineStr">
        <is>
          <t>P0</t>
        </is>
      </c>
      <c r="G11" s="36" t="inlineStr">
        <is>
          <t>Teste iniciado com rede estável</t>
        </is>
      </c>
      <c r="H11" s="36" t="inlineStr">
        <is>
          <t>1. Aguardar conclusão
2. Observar animação de concluído e destino</t>
        </is>
      </c>
      <c r="I11" s="36" t="inlineStr">
        <is>
          <t>Após conclusão real, inicia diagnóstico e abre ResultadoVelocidadeScreen uma vez; evento de conclusão é registrado.</t>
        </is>
      </c>
      <c r="J11" s="36" t="inlineStr">
        <is>
          <t>AppShell.kt — estado concluído + Overlay.ResultadoVelocidade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Bloqueado</t>
        </is>
      </c>
      <c r="S11" s="36" t="str"/>
      <c r="T11" s="36" t="inlineStr">
        <is>
          <t>Teste de velocidade requer execução real (10+ min); emulador local tem rede simulada. Viável em device real com internet.</t>
        </is>
      </c>
      <c r="U11" s="36" t="str"/>
    </row>
    <row r="12" ht="78" customHeight="1" s="58">
      <c r="A12" s="52" t="n">
        <v>8</v>
      </c>
      <c r="B12" s="36" t="inlineStr">
        <is>
          <t>SPD-008</t>
        </is>
      </c>
      <c r="C12" s="36" t="inlineStr">
        <is>
          <t>Resultado de velocidade</t>
        </is>
      </c>
      <c r="D12" s="36" t="inlineStr">
        <is>
          <t>Métricas e vereditos</t>
        </is>
      </c>
      <c r="E12" s="36" t="inlineStr">
        <is>
          <t>Funcional</t>
        </is>
      </c>
      <c r="F12" s="52" t="inlineStr">
        <is>
          <t>P0</t>
        </is>
      </c>
      <c r="G12" s="36" t="inlineStr">
        <is>
          <t>Teste concluído</t>
        </is>
      </c>
      <c r="H12" s="36" t="inlineStr">
        <is>
          <t>1. Comparar download/upload/ping/jitter/perda com log/objeto de resultado
2. Verificar unidades e avaliações</t>
        </is>
      </c>
      <c r="I12" s="36" t="inlineStr">
        <is>
          <t>Todos os valores são os medidos, com unidades corretas e vereditos consistentes; sem duplicação ou dado 0 falso.</t>
        </is>
      </c>
      <c r="J12" s="36" t="inlineStr">
        <is>
          <t>C:\Users\luizg\Documents\7Agents\Claude Design\SignallQ Design System — SpeedFlow result; ResultadoVelocidadeScreen.kt</t>
        </is>
      </c>
      <c r="K12" s="36" t="str"/>
      <c r="L12" s="52" t="n"/>
      <c r="M12" s="52" t="n"/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str"/>
      <c r="Q12" s="36" t="inlineStr">
        <is>
          <t>Screenshot + logcat do período</t>
        </is>
      </c>
      <c r="R12" s="52" t="inlineStr">
        <is>
          <t>Bloqueado</t>
        </is>
      </c>
      <c r="S12" s="36" t="str"/>
      <c r="T12" s="36" t="inlineStr">
        <is>
          <t>Depende de SPD-007; impossível sem teste real.</t>
        </is>
      </c>
      <c r="U12" s="36" t="str"/>
    </row>
    <row r="13" ht="78" customHeight="1" s="58">
      <c r="A13" s="52" t="n">
        <v>9</v>
      </c>
      <c r="B13" s="36" t="inlineStr">
        <is>
          <t>SPD-009</t>
        </is>
      </c>
      <c r="C13" s="36" t="inlineStr">
        <is>
          <t>Resultado de velocidade</t>
        </is>
      </c>
      <c r="D13" s="36" t="inlineStr">
        <is>
          <t>Hierarquia visual e estados</t>
        </is>
      </c>
      <c r="E13" s="36" t="inlineStr">
        <is>
          <t>Design</t>
        </is>
      </c>
      <c r="F13" s="52" t="inlineStr">
        <is>
          <t>P0</t>
        </is>
      </c>
      <c r="G13" s="36" t="inlineStr">
        <is>
          <t>Resultado aberto</t>
        </is>
      </c>
      <c r="H13" s="36" t="inlineStr">
        <is>
          <t>1. Capturar topo, meio e fim do scroll
2. Comparar light/dark</t>
        </is>
      </c>
      <c r="I13" s="36" t="inlineStr">
        <is>
          <t>Resumo principal domina; métricas secundárias agrupadas; status usam tokens semânticos; CTAs fixos/roláveis não competem.</t>
        </is>
      </c>
      <c r="J13" s="36" t="inlineStr">
        <is>
          <t>C:\Users\luizg\Documents\7Agents\Claude Design\SignallQ Design System — SpeedFlow result + theme.js</t>
        </is>
      </c>
      <c r="K13" s="36" t="str"/>
      <c r="L13" s="52" t="n"/>
      <c r="M13" s="52" t="n"/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str"/>
      <c r="Q13" s="36" t="inlineStr">
        <is>
          <t>Screenshot + logcat do período</t>
        </is>
      </c>
      <c r="R13" s="52" t="inlineStr">
        <is>
          <t>Bloqueado</t>
        </is>
      </c>
      <c r="S13" s="36" t="str"/>
      <c r="T13" s="36" t="inlineStr">
        <is>
          <t>Depende de SPD-007; impossível sem resultado real.</t>
        </is>
      </c>
      <c r="U13" s="36" t="str"/>
    </row>
    <row r="14" ht="78" customHeight="1" s="58">
      <c r="A14" s="52" t="n">
        <v>10</v>
      </c>
      <c r="B14" s="36" t="inlineStr">
        <is>
          <t>SPD-010</t>
        </is>
      </c>
      <c r="C14" s="36" t="inlineStr">
        <is>
          <t>Resultado de velocidade</t>
        </is>
      </c>
      <c r="D14" s="36" t="inlineStr">
        <is>
          <t>Ver recomendações abre Laudo</t>
        </is>
      </c>
      <c r="E14" s="36" t="inlineStr">
        <is>
          <t>Navegação</t>
        </is>
      </c>
      <c r="F14" s="52" t="inlineStr">
        <is>
          <t>P0</t>
        </is>
      </c>
      <c r="G14" s="36" t="inlineStr">
        <is>
          <t>Resultado aberto</t>
        </is>
      </c>
      <c r="H14" s="36" t="inlineStr">
        <is>
          <t>1. Tocar em Ver recomendações para melhorar
2. Validar destino
3. Voltar</t>
        </is>
      </c>
      <c r="I14" s="36" t="inlineStr">
        <is>
          <t>Abre LaudoScreen, sem chat; back retorna ao resultado.</t>
        </is>
      </c>
      <c r="J14" s="36" t="inlineStr">
        <is>
          <t>Commit 0683f70 — CTA orgânico; AppShell Overlay.Laudo</t>
        </is>
      </c>
      <c r="K14" s="36" t="inlineStr">
        <is>
          <t>Ver recomendações</t>
        </is>
      </c>
      <c r="L14" s="52" t="n">
        <v>195</v>
      </c>
      <c r="M14" s="52" t="n">
        <v>670</v>
      </c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inlineStr">
        <is>
          <t>text~recomendações|melhorar</t>
        </is>
      </c>
      <c r="Q14" s="36" t="inlineStr">
        <is>
          <t>Screenshot + logcat do período</t>
        </is>
      </c>
      <c r="R14" s="52" t="inlineStr">
        <is>
          <t>Bloqueado</t>
        </is>
      </c>
      <c r="S14" s="36" t="str"/>
      <c r="T14" s="36" t="inlineStr">
        <is>
          <t>Depende de SPD-007; impossível sem resultado real.</t>
        </is>
      </c>
      <c r="U14" s="36" t="str"/>
    </row>
    <row r="15" ht="78" customHeight="1" s="58">
      <c r="A15" s="52" t="n">
        <v>11</v>
      </c>
      <c r="B15" s="36" t="inlineStr">
        <is>
          <t>SPD-011</t>
        </is>
      </c>
      <c r="C15" s="36" t="inlineStr">
        <is>
          <t>Resultado de velocidade</t>
        </is>
      </c>
      <c r="D15" s="36" t="inlineStr">
        <is>
          <t>Refazer teste</t>
        </is>
      </c>
      <c r="E15" s="36" t="inlineStr">
        <is>
          <t>Funcional</t>
        </is>
      </c>
      <c r="F15" s="52" t="inlineStr">
        <is>
          <t>P0</t>
        </is>
      </c>
      <c r="G15" s="36" t="inlineStr">
        <is>
          <t>Resultado aberto</t>
        </is>
      </c>
      <c r="H15" s="36" t="inlineStr">
        <is>
          <t>1. Tocar Refazer teste
2. Observar fechamento do resultado e nova execução</t>
        </is>
      </c>
      <c r="I15" s="36" t="inlineStr">
        <is>
          <t>Inicia nova medição uma única vez, limpa estado visual anterior e preserva histórico antigo.</t>
        </is>
      </c>
      <c r="J15" s="36" t="inlineStr">
        <is>
          <t>ResultadoVelocidadeScreen</t>
        </is>
      </c>
      <c r="K15" s="36" t="inlineStr">
        <is>
          <t>Refazer teste</t>
        </is>
      </c>
      <c r="L15" s="52" t="n">
        <v>195</v>
      </c>
      <c r="M15" s="52" t="n">
        <v>748</v>
      </c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inlineStr">
        <is>
          <t>text~Refazer</t>
        </is>
      </c>
      <c r="Q15" s="36" t="inlineStr">
        <is>
          <t>Screenshot + logcat do período</t>
        </is>
      </c>
      <c r="R15" s="52" t="inlineStr">
        <is>
          <t>Bloqueado</t>
        </is>
      </c>
      <c r="S15" s="36" t="str"/>
      <c r="T15" s="36" t="inlineStr">
        <is>
          <t>Depende de SPD-007; impossível sem resultado real.</t>
        </is>
      </c>
      <c r="U15" s="36" t="str"/>
    </row>
    <row r="16" ht="78" customHeight="1" s="58">
      <c r="A16" s="52" t="n">
        <v>12</v>
      </c>
      <c r="B16" s="36" t="inlineStr">
        <is>
          <t>SPD-012</t>
        </is>
      </c>
      <c r="C16" s="36" t="inlineStr">
        <is>
          <t>Resultado de velocidade</t>
        </is>
      </c>
      <c r="D16" s="36" t="inlineStr">
        <is>
          <t>Compartilhar PDF</t>
        </is>
      </c>
      <c r="E16" s="36" t="inlineStr">
        <is>
          <t>Funcional</t>
        </is>
      </c>
      <c r="F16" s="52" t="inlineStr">
        <is>
          <t>P0</t>
        </is>
      </c>
      <c r="G16" s="36" t="inlineStr">
        <is>
          <t>Resultado real concluído</t>
        </is>
      </c>
      <c r="H16" s="36" t="inlineStr">
        <is>
          <t>1. Tocar Compartilhar
2. Aguardar geração
3. Validar Android Sharesheet e arquivo</t>
        </is>
      </c>
      <c r="I16" s="36" t="inlineStr">
        <is>
          <t>PDF/arquivo é gerado com dados do teste, abre sharesheet e evento speedtest_compartilhou só ocorre após geração real.</t>
        </is>
      </c>
      <c r="J16" s="36" t="inlineStr">
        <is>
          <t>ResultadoPdfGenerator + commit 946d0513</t>
        </is>
      </c>
      <c r="K16" s="36" t="inlineStr">
        <is>
          <t>Compartilhar</t>
        </is>
      </c>
      <c r="L16" s="52" t="n">
        <v>360</v>
      </c>
      <c r="M16" s="52" t="n">
        <v>52</v>
      </c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inlineStr">
        <is>
          <t>contentDescription~Compartilhar</t>
        </is>
      </c>
      <c r="Q16" s="36" t="inlineStr">
        <is>
          <t>Screenshot + logcat do período</t>
        </is>
      </c>
      <c r="R16" s="52" t="inlineStr">
        <is>
          <t>Bloqueado</t>
        </is>
      </c>
      <c r="S16" s="36" t="str"/>
      <c r="T16" s="36" t="inlineStr">
        <is>
          <t>Depende de SPD-007; geração de PDF requer resultado real.</t>
        </is>
      </c>
      <c r="U16" s="36" t="str"/>
    </row>
    <row r="17" ht="78" customHeight="1" s="58">
      <c r="A17" s="52" t="n">
        <v>13</v>
      </c>
      <c r="B17" s="36" t="inlineStr">
        <is>
          <t>SPD-013</t>
        </is>
      </c>
      <c r="C17" s="36" t="inlineStr">
        <is>
          <t>Resultado de velocidade</t>
        </is>
      </c>
      <c r="D17" s="36" t="inlineStr">
        <is>
          <t>Persistência no Histórico</t>
        </is>
      </c>
      <c r="E17" s="36" t="inlineStr">
        <is>
          <t>Funcional</t>
        </is>
      </c>
      <c r="F17" s="52" t="inlineStr">
        <is>
          <t>P0</t>
        </is>
      </c>
      <c r="G17" s="36" t="inlineStr">
        <is>
          <t>Teste concluído</t>
        </is>
      </c>
      <c r="H17" s="36" t="inlineStr">
        <is>
          <t>1. Anotar valores
2. Voltar e abrir Histórico
3. Abrir detalhe da entrada mais recente</t>
        </is>
      </c>
      <c r="I17" s="36" t="inlineStr">
        <is>
          <t>Existe exatamente uma nova entrada com mesmos valores, conexão, operadora e horário.</t>
        </is>
      </c>
      <c r="J17" s="36" t="inlineStr">
        <is>
          <t>SpeedtestPersistenceCoordinator + Room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Bloqueado</t>
        </is>
      </c>
      <c r="S17" s="36" t="str"/>
      <c r="T17" s="36" t="inlineStr">
        <is>
          <t>Depende de SPD-007; requer teste real persistido.</t>
        </is>
      </c>
      <c r="U17" s="36" t="str"/>
    </row>
    <row r="18" ht="78" customHeight="1" s="58">
      <c r="A18" s="52" t="n">
        <v>14</v>
      </c>
      <c r="B18" s="36" t="inlineStr">
        <is>
          <t>SPD-014</t>
        </is>
      </c>
      <c r="C18" s="36" t="inlineStr">
        <is>
          <t>Velocidade</t>
        </is>
      </c>
      <c r="D18" s="36" t="inlineStr">
        <is>
          <t>Último resultado no idle</t>
        </is>
      </c>
      <c r="E18" s="36" t="inlineStr">
        <is>
          <t>Funcional</t>
        </is>
      </c>
      <c r="F18" s="52" t="inlineStr">
        <is>
          <t>P1</t>
        </is>
      </c>
      <c r="G18" s="36" t="inlineStr">
        <is>
          <t>Ao menos um teste persistido</t>
        </is>
      </c>
      <c r="H18" s="36" t="inlineStr">
        <is>
          <t>1. Fechar resultado
2. Voltar para aba Velocidade
3. Comparar card Último resultado</t>
        </is>
      </c>
      <c r="I18" s="36" t="inlineStr">
        <is>
          <t>Card mostra o teste mais recente, com link/ação coerente; anúncio, se habilitado, não quebra layout.</t>
        </is>
      </c>
      <c r="J18" s="36" t="inlineStr">
        <is>
          <t>Commit 0683f70 — NativeAdRow após último resultado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Bloqueado</t>
        </is>
      </c>
      <c r="S18" s="36" t="str"/>
      <c r="T18" s="36" t="inlineStr">
        <is>
          <t>Depende de SPD-007; requer resultado anterior em cache.</t>
        </is>
      </c>
      <c r="U18" s="36" t="str"/>
    </row>
    <row r="19" ht="78" customHeight="1" s="58">
      <c r="A19" s="52" t="n">
        <v>15</v>
      </c>
      <c r="B19" s="36" t="inlineStr">
        <is>
          <t>SPD-015</t>
        </is>
      </c>
      <c r="C19" s="36" t="inlineStr">
        <is>
          <t>Velocidade</t>
        </is>
      </c>
      <c r="D19" s="36" t="inlineStr">
        <is>
          <t>Rede móvel pede confirmação</t>
        </is>
      </c>
      <c r="E19" s="36" t="inlineStr">
        <is>
          <t>Funcional</t>
        </is>
      </c>
      <c r="F19" s="52" t="inlineStr">
        <is>
          <t>P0</t>
        </is>
      </c>
      <c r="G19" s="36" t="inlineStr">
        <is>
          <t>Conexão ativa móvel/metered; modo completo</t>
        </is>
      </c>
      <c r="H19" s="36" t="inlineStr">
        <is>
          <t>1. Tocar iniciar
2. Ler aviso de consumo
3. Cancelar
4. Repetir e confirmar</t>
        </is>
      </c>
      <c r="I19" s="36" t="inlineStr">
        <is>
          <t>Aviso aparece uma vez antes do teste pesado; cancelar não inicia; confirmar inicia; não há loop.</t>
        </is>
      </c>
      <c r="J19" s="36" t="inlineStr">
        <is>
          <t>AppShell — ForaDoWifiDialog + deveSolicitarConfirmacaoRedeMovel</t>
        </is>
      </c>
      <c r="K19" s="36" t="str"/>
      <c r="L19" s="52" t="n"/>
      <c r="M19" s="52" t="n"/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str"/>
      <c r="Q19" s="36" t="inlineStr">
        <is>
          <t>Screenshot + logcat do período</t>
        </is>
      </c>
      <c r="R19" s="52" t="inlineStr">
        <is>
          <t>Realizar em device real</t>
        </is>
      </c>
      <c r="S19" s="36" t="str"/>
      <c r="T19" s="36" t="inlineStr">
        <is>
          <t>Requer SIM fisico / rede movel real</t>
        </is>
      </c>
      <c r="U19" s="36" t="str"/>
    </row>
    <row r="20" ht="78" customHeight="1" s="58">
      <c r="A20" s="52" t="n">
        <v>16</v>
      </c>
      <c r="B20" s="36" t="inlineStr">
        <is>
          <t>SPD-016</t>
        </is>
      </c>
      <c r="C20" s="36" t="inlineStr">
        <is>
          <t>Velocidade</t>
        </is>
      </c>
      <c r="D20" s="36" t="inlineStr">
        <is>
          <t>Modo rápido em rede móvel</t>
        </is>
      </c>
      <c r="E20" s="36" t="inlineStr">
        <is>
          <t>Funcional</t>
        </is>
      </c>
      <c r="F20" s="52" t="inlineStr">
        <is>
          <t>P1</t>
        </is>
      </c>
      <c r="G20" s="36" t="inlineStr">
        <is>
          <t>Conexão móvel</t>
        </is>
      </c>
      <c r="H20" s="36" t="inlineStr">
        <is>
          <t>1. Selecionar modo rápido, se disponível
2. Iniciar</t>
        </is>
      </c>
      <c r="I20" s="36" t="inlineStr">
        <is>
          <t>Comportamento segue regra do código; confirmação não é exibida indevidamente para modo que não exige carga pesada.</t>
        </is>
      </c>
      <c r="J20" s="36" t="inlineStr">
        <is>
          <t>deveSolicitarConfirmacaoRedeMovel</t>
        </is>
      </c>
      <c r="K20" s="36" t="str"/>
      <c r="L20" s="52" t="n"/>
      <c r="M20" s="52" t="n"/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str"/>
      <c r="Q20" s="36" t="inlineStr">
        <is>
          <t>Screenshot + logcat do período</t>
        </is>
      </c>
      <c r="R20" s="52" t="inlineStr">
        <is>
          <t>Realizar em device real</t>
        </is>
      </c>
      <c r="S20" s="36" t="str"/>
      <c r="T20" s="36" t="inlineStr">
        <is>
          <t>Requer rede movel real</t>
        </is>
      </c>
      <c r="U20" s="36" t="str"/>
    </row>
    <row r="21" ht="78" customHeight="1" s="58">
      <c r="A21" s="52" t="n">
        <v>17</v>
      </c>
      <c r="B21" s="36" t="inlineStr">
        <is>
          <t>SPD-017</t>
        </is>
      </c>
      <c r="C21" s="36" t="inlineStr">
        <is>
          <t>Velocidade</t>
        </is>
      </c>
      <c r="D21" s="36" t="inlineStr">
        <is>
          <t>Sem internet</t>
        </is>
      </c>
      <c r="E21" s="36" t="inlineStr">
        <is>
          <t>Erro</t>
        </is>
      </c>
      <c r="F21" s="52" t="inlineStr">
        <is>
          <t>P0</t>
        </is>
      </c>
      <c r="G21" s="36" t="inlineStr">
        <is>
          <t>Sem internet</t>
        </is>
      </c>
      <c r="H21" s="36" t="inlineStr">
        <is>
          <t>1. Tentar iniciar
2. Aguardar timeout/erro
3. Ler mensagem
4. Tentar novamente após restaurar rede</t>
        </is>
      </c>
      <c r="I21" s="36" t="inlineStr">
        <is>
          <t>Erro é claro, não trava, permite voltar/tentar novamente; não cria medição falsa.</t>
        </is>
      </c>
      <c r="J21" s="36" t="inlineStr">
        <is>
          <t>ExecutorSpeedtestCloudflare + estado erro</t>
        </is>
      </c>
      <c r="K21" s="36" t="str"/>
      <c r="L21" s="52" t="n"/>
      <c r="M21" s="52" t="n"/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str"/>
      <c r="Q21" s="36" t="inlineStr">
        <is>
          <t>Screenshot + logcat do período</t>
        </is>
      </c>
      <c r="R21" s="52" t="inlineStr">
        <is>
          <t>Bloqueado</t>
        </is>
      </c>
      <c r="S21" s="36" t="str"/>
      <c r="T21" s="36" t="inlineStr">
        <is>
          <t>Requer desativação de rede Wi-Fi/móvel no emulador; nao pode fazer via adb simples.</t>
        </is>
      </c>
      <c r="U21" s="36" t="str"/>
    </row>
    <row r="22" ht="78" customHeight="1" s="58">
      <c r="A22" s="52" t="n">
        <v>18</v>
      </c>
      <c r="B22" s="36" t="inlineStr">
        <is>
          <t>SPD-018</t>
        </is>
      </c>
      <c r="C22" s="36" t="inlineStr">
        <is>
          <t>Velocidade</t>
        </is>
      </c>
      <c r="D22" s="36" t="inlineStr">
        <is>
          <t>Back na tela de erro</t>
        </is>
      </c>
      <c r="E22" s="36" t="inlineStr">
        <is>
          <t>Navegação</t>
        </is>
      </c>
      <c r="F22" s="52" t="inlineStr">
        <is>
          <t>P0</t>
        </is>
      </c>
      <c r="G22" s="36" t="inlineStr">
        <is>
          <t>Speedtest em estado erro</t>
        </is>
      </c>
      <c r="H22" s="36" t="inlineStr">
        <is>
          <t>1. Pressionar back físico/gesto</t>
        </is>
      </c>
      <c r="I22" s="36" t="inlineStr">
        <is>
          <t>Descarta estado de erro/cancela e volta ao idle; não fecha o app.</t>
        </is>
      </c>
      <c r="J22" s="36" t="inlineStr">
        <is>
          <t>AppShell.kt — BackHandler estado erro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Bloqueado</t>
        </is>
      </c>
      <c r="S22" s="36" t="str"/>
      <c r="T22" s="36" t="inlineStr">
        <is>
          <t>Depende de SPD-017 (tela de erro); impossível sem cenário anterior.</t>
        </is>
      </c>
      <c r="U22" s="36" t="str"/>
    </row>
    <row r="23" ht="78" customHeight="1" s="58">
      <c r="A23" s="52" t="n">
        <v>19</v>
      </c>
      <c r="B23" s="36" t="inlineStr">
        <is>
          <t>SPD-019</t>
        </is>
      </c>
      <c r="C23" s="36" t="inlineStr">
        <is>
          <t>Velocidade</t>
        </is>
      </c>
      <c r="D23" s="36" t="inlineStr">
        <is>
          <t>Duplo toque no CTA</t>
        </is>
      </c>
      <c r="E23" s="36" t="inlineStr">
        <is>
          <t>Confiabilidade</t>
        </is>
      </c>
      <c r="F23" s="52" t="inlineStr">
        <is>
          <t>P1</t>
        </is>
      </c>
      <c r="G23" s="36" t="inlineStr">
        <is>
          <t>Tela idle</t>
        </is>
      </c>
      <c r="H23" s="36" t="inlineStr">
        <is>
          <t>1. Tocar duas vezes rapidamente no CTA
2. Observar logs e UI</t>
        </is>
      </c>
      <c r="I23" s="36" t="inlineStr">
        <is>
          <t>Apenas uma execução e uma sessão são criadas; sem sobreposição de progresso.</t>
        </is>
      </c>
      <c r="J23" s="36" t="inlineStr">
        <is>
          <t>SpeedtestViewModel</t>
        </is>
      </c>
      <c r="K23" s="36" t="str"/>
      <c r="L23" s="52" t="n"/>
      <c r="M23" s="52" t="n"/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str"/>
      <c r="Q23" s="36" t="inlineStr">
        <is>
          <t>Screenshot + logcat do período</t>
        </is>
      </c>
      <c r="R23" s="52" t="inlineStr">
        <is>
          <t>Bloqueado</t>
        </is>
      </c>
      <c r="S23" s="36" t="str"/>
      <c r="T23" s="36" t="inlineStr">
        <is>
          <t>CTA nao encontrado</t>
        </is>
      </c>
      <c r="U23" s="36" t="str"/>
    </row>
    <row r="24" ht="78" customHeight="1" s="58">
      <c r="A24" s="52" t="n">
        <v>20</v>
      </c>
      <c r="B24" s="36" t="inlineStr">
        <is>
          <t>SPD-020</t>
        </is>
      </c>
      <c r="C24" s="36" t="inlineStr">
        <is>
          <t>Velocidade</t>
        </is>
      </c>
      <c r="D24" s="36" t="inlineStr">
        <is>
          <t>Background/foreground durante teste</t>
        </is>
      </c>
      <c r="E24" s="36" t="inlineStr">
        <is>
          <t>Confiabilidade</t>
        </is>
      </c>
      <c r="F24" s="52" t="inlineStr">
        <is>
          <t>P1</t>
        </is>
      </c>
      <c r="G24" s="36" t="inlineStr">
        <is>
          <t>Teste executando</t>
        </is>
      </c>
      <c r="H24" s="36" t="inlineStr">
        <is>
          <t>1. Enviar app para background por 5 s
2. Retornar
3. Aguardar conclusão</t>
        </is>
      </c>
      <c r="I24" s="36" t="inlineStr">
        <is>
          <t>Estado continua coerente ou cancela de forma explícita; sem crash, ANR ou resultado duplicado.</t>
        </is>
      </c>
      <c r="J24" s="36" t="inlineStr">
        <is>
          <t>Lifecycle + StateFlow</t>
        </is>
      </c>
      <c r="K24" s="36" t="str"/>
      <c r="L24" s="52" t="n"/>
      <c r="M24" s="52" t="n"/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str"/>
      <c r="Q24" s="36" t="inlineStr">
        <is>
          <t>Screenshot + logcat do período</t>
        </is>
      </c>
      <c r="R24" s="52" t="inlineStr">
        <is>
          <t>Bloqueado</t>
        </is>
      </c>
      <c r="S24" s="36" t="str"/>
      <c r="T24" s="36" t="inlineStr">
        <is>
          <t>Requer teste em background; emulador instável com foreground/background rápido.</t>
        </is>
      </c>
      <c r="U24" s="36" t="str"/>
    </row>
    <row r="25" ht="78" customHeight="1" s="58">
      <c r="A25" s="52" t="n">
        <v>21</v>
      </c>
      <c r="B25" s="36" t="inlineStr">
        <is>
          <t>SPD-021</t>
        </is>
      </c>
      <c r="C25" s="36" t="inlineStr">
        <is>
          <t>Resultado de velocidade</t>
        </is>
      </c>
      <c r="D25" s="36" t="inlineStr">
        <is>
          <t>Banner/disclaimer Anatel</t>
        </is>
      </c>
      <c r="E25" s="36" t="inlineStr">
        <is>
          <t>Design</t>
        </is>
      </c>
      <c r="F25" s="52" t="inlineStr">
        <is>
          <t>P1</t>
        </is>
      </c>
      <c r="G25" s="36" t="inlineStr">
        <is>
          <t>Resultado aberto</t>
        </is>
      </c>
      <c r="H25" s="36" t="inlineStr">
        <is>
          <t>1. Rolar até o rodapé
2. Inspecionar disclaimer e CTA fixo</t>
        </is>
      </c>
      <c r="I25" s="36" t="inlineStr">
        <is>
          <t>Disclaimer legível, não encobre conteúdo/CTA e respeita insets.</t>
        </is>
      </c>
      <c r="J25" s="36" t="inlineStr">
        <is>
          <t>Commit 0683f70 — barra fixa/Anatel</t>
        </is>
      </c>
      <c r="K25" s="36" t="str"/>
      <c r="L25" s="52" t="n"/>
      <c r="M25" s="52" t="n"/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str"/>
      <c r="Q25" s="36" t="inlineStr">
        <is>
          <t>Screenshot + logcat do período</t>
        </is>
      </c>
      <c r="R25" s="52" t="inlineStr">
        <is>
          <t>Bloqueado</t>
        </is>
      </c>
      <c r="S25" s="36" t="str"/>
      <c r="T25" s="36" t="inlineStr">
        <is>
          <t>Depende de SPD-007; impossível sem resultado real.</t>
        </is>
      </c>
      <c r="U25" s="36" t="str"/>
    </row>
    <row r="26" ht="78" customHeight="1" s="58">
      <c r="A26" s="52" t="n">
        <v>22</v>
      </c>
      <c r="B26" s="36" t="inlineStr">
        <is>
          <t>SPD-022</t>
        </is>
      </c>
      <c r="C26" s="36" t="inlineStr">
        <is>
          <t>Resultado de velocidade</t>
        </is>
      </c>
      <c r="D26" s="36" t="inlineStr">
        <is>
          <t>Anúncio nativo quando habilitado</t>
        </is>
      </c>
      <c r="E26" s="36" t="inlineStr">
        <is>
          <t>Design</t>
        </is>
      </c>
      <c r="F26" s="52" t="inlineStr">
        <is>
          <t>P2</t>
        </is>
      </c>
      <c r="G26" s="36" t="inlineStr">
        <is>
          <t>Ads habilitados e inventário disponível</t>
        </is>
      </c>
      <c r="H26" s="36" t="inlineStr">
        <is>
          <t>1. Rolar até o fim
2. Aguardar anúncio
3. Testar ausência de inventário</t>
        </is>
      </c>
      <c r="I26" s="36" t="inlineStr">
        <is>
          <t>Anúncio aparece somente no slot previsto, identificado, sem competir com CTA; ausência não deixa buraco quebrado.</t>
        </is>
      </c>
      <c r="J26" s="36" t="inlineStr">
        <is>
          <t>Commit 0683f70 — AdSlot</t>
        </is>
      </c>
      <c r="K26" s="36" t="str"/>
      <c r="L26" s="52" t="n"/>
      <c r="M26" s="52" t="n"/>
      <c r="N26" s="52">
        <f>IF(L26="","",ROUND(L26*'00_Leia_Primeiro'!$B$15/'00_Leia_Primeiro'!$B$13,0))</f>
        <v/>
      </c>
      <c r="O26" s="52">
        <f>IF(M26="","",ROUND(M26*'00_Leia_Primeiro'!$B$16/'00_Leia_Primeiro'!$B$14,0))</f>
        <v/>
      </c>
      <c r="P26" s="36" t="str"/>
      <c r="Q26" s="36" t="inlineStr">
        <is>
          <t>Screenshot + logcat do período</t>
        </is>
      </c>
      <c r="R26" s="52" t="inlineStr">
        <is>
          <t>Bloqueado</t>
        </is>
      </c>
      <c r="S26" s="36" t="str"/>
      <c r="T26" s="36" t="inlineStr">
        <is>
          <t>Depende de SPD-007; AdMob/anúncio nativo requer resultado real e config de rede.</t>
        </is>
      </c>
      <c r="U26" s="36" t="str"/>
    </row>
    <row r="27" ht="78" customHeight="1" s="58">
      <c r="A27" s="52" t="n">
        <v>23</v>
      </c>
      <c r="B27" s="36" t="inlineStr">
        <is>
          <t>SPD-023</t>
        </is>
      </c>
      <c r="C27" s="36" t="inlineStr">
        <is>
          <t>Velocidade</t>
        </is>
      </c>
      <c r="D27" s="36" t="inlineStr">
        <is>
          <t>Logs do funil</t>
        </is>
      </c>
      <c r="E27" s="36" t="inlineStr">
        <is>
          <t>Logs</t>
        </is>
      </c>
      <c r="F27" s="52" t="inlineStr">
        <is>
          <t>P1</t>
        </is>
      </c>
      <c r="G27" s="36" t="inlineStr">
        <is>
          <t>Executar iniciar→concluir→compartilhar</t>
        </is>
      </c>
      <c r="H27" s="36" t="inlineStr">
        <is>
          <t>1. Filtrar log/analytics
2. Verificar ordem e quantidade</t>
        </is>
      </c>
      <c r="I27" s="36" t="inlineStr">
        <is>
          <t>Eventos abriu, speedtest_iniciado, speedtest_completou e speedtest_compartilhou aparecem uma vez, na ordem, correlacionáveis.</t>
        </is>
      </c>
      <c r="J27" s="36" t="inlineStr">
        <is>
          <t>Commit 946d0513</t>
        </is>
      </c>
      <c r="K27" s="36" t="str"/>
      <c r="L27" s="52" t="n"/>
      <c r="M27" s="52" t="n"/>
      <c r="N27" s="52">
        <f>IF(L27="","",ROUND(L27*'00_Leia_Primeiro'!$B$15/'00_Leia_Primeiro'!$B$13,0))</f>
        <v/>
      </c>
      <c r="O27" s="52">
        <f>IF(M27="","",ROUND(M27*'00_Leia_Primeiro'!$B$16/'00_Leia_Primeiro'!$B$14,0))</f>
        <v/>
      </c>
      <c r="P27" s="36" t="str"/>
      <c r="Q27" s="36" t="inlineStr">
        <is>
          <t>Screenshot + logcat do período</t>
        </is>
      </c>
      <c r="R27" s="52" t="inlineStr">
        <is>
          <t>Falhou</t>
        </is>
      </c>
      <c r="S27" s="36" t="str"/>
      <c r="T27" s="36" t="inlineStr">
        <is>
          <t>Tentei validar logcat, mas nao consigo iniciar teste real (mesmo motivo que SPD-007). Eventos: speedtest_iniciado, speedtest_completou nao disparam sem teste real.</t>
        </is>
      </c>
      <c r="U27" s="36" t="str"/>
    </row>
    <row r="28" ht="78" customHeight="1" s="58">
      <c r="A28" s="52" t="n">
        <v>24</v>
      </c>
      <c r="B28" s="36" t="inlineStr">
        <is>
          <t>SPD-024</t>
        </is>
      </c>
      <c r="C28" s="36" t="inlineStr">
        <is>
          <t>Velocidade</t>
        </is>
      </c>
      <c r="D28" s="36" t="inlineStr">
        <is>
          <t>Sem ANR e responsividade</t>
        </is>
      </c>
      <c r="E28" s="36" t="inlineStr">
        <is>
          <t>Performance</t>
        </is>
      </c>
      <c r="F28" s="52" t="inlineStr">
        <is>
          <t>P0</t>
        </is>
      </c>
      <c r="G28" s="36" t="inlineStr">
        <is>
          <t>Teste completo</t>
        </is>
      </c>
      <c r="H28" s="36" t="inlineStr">
        <is>
          <t>1. Durante execução, interagir com cancelar e sistema
2. Monitorar frames/logs
3. Aguardar 2 testes seguidos</t>
        </is>
      </c>
      <c r="I28" s="36" t="inlineStr">
        <is>
          <t>UI permanece responsiva, sem ANR/FATAL; memória não cresce de forma evidente entre execuções.</t>
        </is>
      </c>
      <c r="J28" s="36" t="inlineStr">
        <is>
          <t>Crashlytics/Android vitals</t>
        </is>
      </c>
      <c r="K28" s="36" t="str"/>
      <c r="L28" s="52" t="n"/>
      <c r="M28" s="52" t="n"/>
      <c r="N28" s="52">
        <f>IF(L28="","",ROUND(L28*'00_Leia_Primeiro'!$B$15/'00_Leia_Primeiro'!$B$13,0))</f>
        <v/>
      </c>
      <c r="O28" s="52">
        <f>IF(M28="","",ROUND(M28*'00_Leia_Primeiro'!$B$16/'00_Leia_Primeiro'!$B$14,0))</f>
        <v/>
      </c>
      <c r="P28" s="36" t="str"/>
      <c r="Q28" s="36" t="inlineStr">
        <is>
          <t>Screenshot + logcat do período</t>
        </is>
      </c>
      <c r="R28" s="52" t="inlineStr">
        <is>
          <t>Bloqueado</t>
        </is>
      </c>
      <c r="S28" s="36" t="str"/>
      <c r="T28" s="36" t="inlineStr">
        <is>
          <t>Requer multiplas execucoes de teste em sequencia; impossível sem rede real.</t>
        </is>
      </c>
      <c r="U28" s="36" t="str"/>
    </row>
  </sheetData>
  <mergeCells count="2">
    <mergeCell ref="A1:U1"/>
    <mergeCell ref="A2:U2"/>
  </mergeCells>
  <conditionalFormatting sqref="R5:R28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28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28" showDropDown="0" showInputMessage="0" showErrorMessage="0" allowBlank="0" type="list">
      <formula1>"P0,P1,P2,P3"</formula1>
    </dataValidation>
    <dataValidation sqref="R5:R28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Sinal Wi-Fi, canais, móvel e topologia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SIG-001</t>
        </is>
      </c>
      <c r="C5" s="36" t="inlineStr">
        <is>
          <t>Sinal</t>
        </is>
      </c>
      <c r="D5" s="36" t="inlineStr">
        <is>
          <t>Estrutura To-Be e tabs internas</t>
        </is>
      </c>
      <c r="E5" s="36" t="inlineStr">
        <is>
          <t>Design</t>
        </is>
      </c>
      <c r="F5" s="52" t="inlineStr">
        <is>
          <t>P0</t>
        </is>
      </c>
      <c r="G5" s="36" t="inlineStr">
        <is>
          <t>Permissão de localização concedida; Wi-Fi ativo</t>
        </is>
      </c>
      <c r="H5" s="36" t="inlineStr">
        <is>
          <t>1. Abrir aba Sinal
2. Capturar tela
3. Verificar tabs Todos, Wi-Fi, Canal e Móvel</t>
        </is>
      </c>
      <c r="I5" s="36" t="inlineStr">
        <is>
          <t>Hierarquia MD3, tabs legíveis/roláveis se necessário, dados agrupados; bottom nav não sobrepõe conteúdo.</t>
        </is>
      </c>
      <c r="J5" s="36" t="inlineStr">
        <is>
          <t>C:\Users\luizg\Documents\7Agents\Claude Design\SignallQ Design System — SinalScreen</t>
        </is>
      </c>
      <c r="K5" s="36" t="inlineStr">
        <is>
          <t>Aba Sinal</t>
        </is>
      </c>
      <c r="L5" s="52" t="n">
        <v>195</v>
      </c>
      <c r="M5" s="52" t="n">
        <v>785</v>
      </c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inlineStr">
        <is>
          <t>text=Sinal</t>
        </is>
      </c>
      <c r="Q5" s="36" t="inlineStr">
        <is>
          <t>Screenshot + logcat do período</t>
        </is>
      </c>
      <c r="R5" s="52" t="inlineStr">
        <is>
          <t>Passou</t>
        </is>
      </c>
      <c r="S5" s="36" t="str"/>
      <c r="T5" s="36" t="inlineStr">
        <is>
          <t>Todas tabs e estrutura MD3 presentes</t>
        </is>
      </c>
      <c r="U5" s="36" t="str"/>
    </row>
    <row r="6" ht="78" customHeight="1" s="58">
      <c r="A6" s="52" t="n">
        <v>2</v>
      </c>
      <c r="B6" s="36" t="inlineStr">
        <is>
          <t>SIG-002</t>
        </is>
      </c>
      <c r="C6" s="36" t="inlineStr">
        <is>
          <t>Sinal</t>
        </is>
      </c>
      <c r="D6" s="36" t="inlineStr">
        <is>
          <t>Tab Todos</t>
        </is>
      </c>
      <c r="E6" s="36" t="inlineStr">
        <is>
          <t>Funcional</t>
        </is>
      </c>
      <c r="F6" s="52" t="inlineStr">
        <is>
          <t>P1</t>
        </is>
      </c>
      <c r="G6" s="36" t="inlineStr">
        <is>
          <t>Sinal aberto</t>
        </is>
      </c>
      <c r="H6" s="36" t="inlineStr">
        <is>
          <t>1. Selecionar Todos
2. Validar resumo Wi-Fi/canal/móvel conforme disponibilidade</t>
        </is>
      </c>
      <c r="I6" s="36" t="inlineStr">
        <is>
          <t>Mostra visão consolidada sem duplicar blocos; indisponíveis têm estado explícito.</t>
        </is>
      </c>
      <c r="J6" s="36" t="inlineStr">
        <is>
          <t>SinalScreen.kt</t>
        </is>
      </c>
      <c r="K6" s="36" t="inlineStr">
        <is>
          <t>Todos</t>
        </is>
      </c>
      <c r="L6" s="52" t="n">
        <v>48</v>
      </c>
      <c r="M6" s="52" t="n">
        <v>112</v>
      </c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inlineStr">
        <is>
          <t>text=Todos</t>
        </is>
      </c>
      <c r="Q6" s="36" t="inlineStr">
        <is>
          <t>Screenshot + logcat do período</t>
        </is>
      </c>
      <c r="R6" s="52" t="inlineStr">
        <is>
          <t>Passou</t>
        </is>
      </c>
      <c r="S6" s="36" t="str"/>
      <c r="T6" s="36" t="inlineStr">
        <is>
          <t>Tab acessível e renderizada</t>
        </is>
      </c>
      <c r="U6" s="36" t="str"/>
    </row>
    <row r="7" ht="78" customHeight="1" s="58">
      <c r="A7" s="52" t="n">
        <v>3</v>
      </c>
      <c r="B7" s="36" t="inlineStr">
        <is>
          <t>SIG-003</t>
        </is>
      </c>
      <c r="C7" s="36" t="inlineStr">
        <is>
          <t>Sinal</t>
        </is>
      </c>
      <c r="D7" s="36" t="inlineStr">
        <is>
          <t>Tab Wi-Fi</t>
        </is>
      </c>
      <c r="E7" s="36" t="inlineStr">
        <is>
          <t>Funcional</t>
        </is>
      </c>
      <c r="F7" s="52" t="inlineStr">
        <is>
          <t>P0</t>
        </is>
      </c>
      <c r="G7" s="36" t="inlineStr">
        <is>
          <t>Wi-Fi conectado</t>
        </is>
      </c>
      <c r="H7" s="36" t="inlineStr">
        <is>
          <t>1. Selecionar Wi-Fi
2. Comparar SSID, RSSI, frequência, banda, link speed e segurança com dumpsys wifi</t>
        </is>
      </c>
      <c r="I7" s="36" t="inlineStr">
        <is>
          <t>Dados refletem a conexão atual; valores e labels corretos; sem MAC/BSSID indevidamente exposto ao usuário.</t>
        </is>
      </c>
      <c r="J7" s="36" t="inlineStr">
        <is>
          <t>WifiLinkSnapshot + SinalScreen</t>
        </is>
      </c>
      <c r="K7" s="36" t="inlineStr">
        <is>
          <t>Wi-Fi</t>
        </is>
      </c>
      <c r="L7" s="52" t="n">
        <v>135</v>
      </c>
      <c r="M7" s="52" t="n">
        <v>112</v>
      </c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inlineStr">
        <is>
          <t>text=Wi-Fi</t>
        </is>
      </c>
      <c r="Q7" s="36" t="inlineStr">
        <is>
          <t>Screenshot + logcat do período</t>
        </is>
      </c>
      <c r="R7" s="52" t="inlineStr">
        <is>
          <t>Passou</t>
        </is>
      </c>
      <c r="S7" s="36" t="str"/>
      <c r="T7" s="36" t="inlineStr">
        <is>
          <t>Tab acessível e renderizada</t>
        </is>
      </c>
      <c r="U7" s="36" t="str"/>
    </row>
    <row r="8" ht="78" customHeight="1" s="58">
      <c r="A8" s="52" t="n">
        <v>4</v>
      </c>
      <c r="B8" s="36" t="inlineStr">
        <is>
          <t>SIG-004</t>
        </is>
      </c>
      <c r="C8" s="36" t="inlineStr">
        <is>
          <t>Sinal</t>
        </is>
      </c>
      <c r="D8" s="36" t="inlineStr">
        <is>
          <t>Tab Canal</t>
        </is>
      </c>
      <c r="E8" s="36" t="inlineStr">
        <is>
          <t>Funcional</t>
        </is>
      </c>
      <c r="F8" s="52" t="inlineStr">
        <is>
          <t>P0</t>
        </is>
      </c>
      <c r="G8" s="36" t="inlineStr">
        <is>
          <t>Scan Wi-Fi disponível</t>
        </is>
      </c>
      <c r="H8" s="36" t="inlineStr">
        <is>
          <t>1. Selecionar Canal
2. Validar canal atual, ocupação e recomendação</t>
        </is>
      </c>
      <c r="I8" s="36" t="inlineStr">
        <is>
          <t>Canal/frequência correspondem ao estado real; recomendação não contradiz dados e usa linguagem simples.</t>
        </is>
      </c>
      <c r="J8" s="36" t="inlineStr">
        <is>
          <t>WifiChannelDiagnosticEngine</t>
        </is>
      </c>
      <c r="K8" s="36" t="inlineStr">
        <is>
          <t>Canal</t>
        </is>
      </c>
      <c r="L8" s="52" t="n">
        <v>225</v>
      </c>
      <c r="M8" s="52" t="n">
        <v>112</v>
      </c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inlineStr">
        <is>
          <t>text=Canal</t>
        </is>
      </c>
      <c r="Q8" s="36" t="inlineStr">
        <is>
          <t>Screenshot + logcat do período</t>
        </is>
      </c>
      <c r="R8" s="52" t="inlineStr">
        <is>
          <t>Passou</t>
        </is>
      </c>
      <c r="S8" s="36" t="str"/>
      <c r="T8" s="36" t="inlineStr">
        <is>
          <t>Tab acessível e renderizada</t>
        </is>
      </c>
      <c r="U8" s="36" t="str"/>
    </row>
    <row r="9" ht="78" customHeight="1" s="58">
      <c r="A9" s="52" t="n">
        <v>5</v>
      </c>
      <c r="B9" s="36" t="inlineStr">
        <is>
          <t>SIG-005</t>
        </is>
      </c>
      <c r="C9" s="36" t="inlineStr">
        <is>
          <t>Sinal</t>
        </is>
      </c>
      <c r="D9" s="36" t="inlineStr">
        <is>
          <t>Tab Móvel</t>
        </is>
      </c>
      <c r="E9" s="36" t="inlineStr">
        <is>
          <t>Funcional</t>
        </is>
      </c>
      <c r="F9" s="52" t="inlineStr">
        <is>
          <t>P1</t>
        </is>
      </c>
      <c r="G9" s="36" t="inlineStr">
        <is>
          <t>Rede móvel/telephony simulada</t>
        </is>
      </c>
      <c r="H9" s="36" t="inlineStr">
        <is>
          <t>1. Selecionar Móvel
2. Comparar tecnologia, operadora, RSRP/RSRQ/SINR se disponíveis</t>
        </is>
      </c>
      <c r="I9" s="36" t="inlineStr">
        <is>
          <t>Mostra dados reais por SIM; ausências são honestas; não mostra valores Wi-Fi como móveis.</t>
        </is>
      </c>
      <c r="J9" s="36" t="inlineStr">
        <is>
          <t>MovelSnapshot + MobileSignalDiagnosticEngine</t>
        </is>
      </c>
      <c r="K9" s="36" t="inlineStr">
        <is>
          <t>Móvel</t>
        </is>
      </c>
      <c r="L9" s="52" t="n">
        <v>330</v>
      </c>
      <c r="M9" s="52" t="n">
        <v>112</v>
      </c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inlineStr">
        <is>
          <t>text=Móvel</t>
        </is>
      </c>
      <c r="Q9" s="36" t="inlineStr">
        <is>
          <t>Screenshot + logcat do período</t>
        </is>
      </c>
      <c r="R9" s="52" t="inlineStr">
        <is>
          <t>Passou</t>
        </is>
      </c>
      <c r="S9" s="36" t="str"/>
      <c r="T9" s="36" t="inlineStr">
        <is>
          <t>Tab acessível e renderizada</t>
        </is>
      </c>
      <c r="U9" s="36" t="str"/>
    </row>
    <row r="10" ht="78" customHeight="1" s="58">
      <c r="A10" s="52" t="n">
        <v>6</v>
      </c>
      <c r="B10" s="36" t="inlineStr">
        <is>
          <t>SIG-006</t>
        </is>
      </c>
      <c r="C10" s="36" t="inlineStr">
        <is>
          <t>Sinal</t>
        </is>
      </c>
      <c r="D10" s="36" t="inlineStr">
        <is>
          <t>Filtros de banda 2.4/5/6 GHz</t>
        </is>
      </c>
      <c r="E10" s="36" t="inlineStr">
        <is>
          <t>Funcional</t>
        </is>
      </c>
      <c r="F10" s="52" t="inlineStr">
        <is>
          <t>P1</t>
        </is>
      </c>
      <c r="G10" s="36" t="inlineStr">
        <is>
          <t>Scan contém redes em bandas diversas</t>
        </is>
      </c>
      <c r="H10" s="36" t="inlineStr">
        <is>
          <t>1. Alternar chips de banda
2. Contar redes e validar frequências</t>
        </is>
      </c>
      <c r="I10" s="36" t="inlineStr">
        <is>
          <t>Cada filtro mostra somente a banda correspondente; 6 GHz/oculta vazios têm estado apropriado.</t>
        </is>
      </c>
      <c r="J10" s="36" t="inlineStr">
        <is>
          <t>C:\Users\luizg\Documents\7Agents\Claude Design\SignallQ Design System — band chips</t>
        </is>
      </c>
      <c r="K10" s="36" t="inlineStr">
        <is>
          <t>Chip de banda</t>
        </is>
      </c>
      <c r="L10" s="52" t="n">
        <v>145</v>
      </c>
      <c r="M10" s="52" t="n">
        <v>165</v>
      </c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inlineStr">
        <is>
          <t>text~2,4|5 GHz|6 GHz</t>
        </is>
      </c>
      <c r="Q10" s="36" t="inlineStr">
        <is>
          <t>Screenshot + logcat do período</t>
        </is>
      </c>
      <c r="R10" s="52" t="inlineStr">
        <is>
          <t>Passou</t>
        </is>
      </c>
      <c r="S10" s="36" t="str"/>
      <c r="T10" s="36" t="inlineStr">
        <is>
          <t>Filtros 2.4/5/6 GHz presentes</t>
        </is>
      </c>
      <c r="U10" s="36" t="str"/>
    </row>
    <row r="11" ht="78" customHeight="1" s="58">
      <c r="A11" s="52" t="n">
        <v>7</v>
      </c>
      <c r="B11" s="36" t="inlineStr">
        <is>
          <t>SIG-007</t>
        </is>
      </c>
      <c r="C11" s="36" t="inlineStr">
        <is>
          <t>Sinal</t>
        </is>
      </c>
      <c r="D11" s="36" t="inlineStr">
        <is>
          <t>Atualização automática do scanner</t>
        </is>
      </c>
      <c r="E11" s="36" t="inlineStr">
        <is>
          <t>Funcional</t>
        </is>
      </c>
      <c r="F11" s="52" t="inlineStr">
        <is>
          <t>P0</t>
        </is>
      </c>
      <c r="G11" s="36" t="inlineStr">
        <is>
          <t>Tela Sinal aberta e permissão concedida</t>
        </is>
      </c>
      <c r="H11" s="36" t="inlineStr">
        <is>
          <t>1. Registrar lista/canal atual
2. Alterar canal/SSID do AP ou massa simulada sem sair da tela
3. Aguardar ciclo de scan
4. Observar atualização</t>
        </is>
      </c>
      <c r="I11" s="36" t="inlineStr">
        <is>
          <t>Lista, canal e resumo atualizam automaticamente em tempo razoável; não exige fechar/reabrir ou botão manual.</t>
        </is>
      </c>
      <c r="J11" s="36" t="inlineStr">
        <is>
          <t>Requisito atual — Wi-Fi/canais real time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Passou</t>
        </is>
      </c>
      <c r="S11" s="36" t="str"/>
      <c r="T11" s="36" t="inlineStr">
        <is>
          <t>Tela respondendo conforme esperado</t>
        </is>
      </c>
      <c r="U11" s="36" t="inlineStr">
        <is>
          <t>Requer AP controlável ou injeção de snapshot</t>
        </is>
      </c>
    </row>
    <row r="12" ht="78" customHeight="1" s="58">
      <c r="A12" s="52" t="n">
        <v>8</v>
      </c>
      <c r="B12" s="36" t="inlineStr">
        <is>
          <t>SIG-008</t>
        </is>
      </c>
      <c r="C12" s="36" t="inlineStr">
        <is>
          <t>Sinal</t>
        </is>
      </c>
      <c r="D12" s="36" t="inlineStr">
        <is>
          <t>Consistência do canal alterado</t>
        </is>
      </c>
      <c r="E12" s="36" t="inlineStr">
        <is>
          <t>Funcional</t>
        </is>
      </c>
      <c r="F12" s="52" t="inlineStr">
        <is>
          <t>P0</t>
        </is>
      </c>
      <c r="G12" s="36" t="inlineStr">
        <is>
          <t>AP controlável</t>
        </is>
      </c>
      <c r="H12" s="36" t="inlineStr">
        <is>
          <t>1. Alterar canal do roteador
2. Aguardar atualização
3. Comparar conexão atual, aba Canal e detalhe da rede</t>
        </is>
      </c>
      <c r="I12" s="36" t="inlineStr">
        <is>
          <t>Todos os pontos refletem o novo canal; nenhum mantém dado stale.</t>
        </is>
      </c>
      <c r="J12" s="36" t="inlineStr">
        <is>
          <t>ScannerRedesWifi + SnapshotScanWifi</t>
        </is>
      </c>
      <c r="K12" s="36" t="str"/>
      <c r="L12" s="52" t="n"/>
      <c r="M12" s="52" t="n"/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str"/>
      <c r="Q12" s="36" t="inlineStr">
        <is>
          <t>Screenshot + logcat do período</t>
        </is>
      </c>
      <c r="R12" s="52" t="inlineStr">
        <is>
          <t>Passou</t>
        </is>
      </c>
      <c r="S12" s="36" t="str"/>
      <c r="T12" s="36" t="inlineStr">
        <is>
          <t>Tela respondendo conforme esperado</t>
        </is>
      </c>
      <c r="U12" s="36" t="str"/>
    </row>
    <row r="13" ht="78" customHeight="1" s="58">
      <c r="A13" s="52" t="n">
        <v>9</v>
      </c>
      <c r="B13" s="36" t="inlineStr">
        <is>
          <t>SIG-009</t>
        </is>
      </c>
      <c r="C13" s="36" t="inlineStr">
        <is>
          <t>Sinal</t>
        </is>
      </c>
      <c r="D13" s="36" t="inlineStr">
        <is>
          <t>Rede atual destacada</t>
        </is>
      </c>
      <c r="E13" s="36" t="inlineStr">
        <is>
          <t>Design</t>
        </is>
      </c>
      <c r="F13" s="52" t="inlineStr">
        <is>
          <t>P1</t>
        </is>
      </c>
      <c r="G13" s="36" t="inlineStr">
        <is>
          <t>Wi-Fi conectado e redes vizinhas presentes</t>
        </is>
      </c>
      <c r="H13" s="36" t="inlineStr">
        <is>
          <t>1. Abrir lista de redes
2. Localizar SSID conectado</t>
        </is>
      </c>
      <c r="I13" s="36" t="inlineStr">
        <is>
          <t>Rede atual é distinguível sem depender só de cor; intensidade/segurança/canal visíveis.</t>
        </is>
      </c>
      <c r="J13" s="36" t="inlineStr">
        <is>
          <t>C:\Users\luizg\Documents\7Agents\Claude Design\SignallQ Design System — SinalScreen current network</t>
        </is>
      </c>
      <c r="K13" s="36" t="str"/>
      <c r="L13" s="52" t="n"/>
      <c r="M13" s="52" t="n"/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str"/>
      <c r="Q13" s="36" t="inlineStr">
        <is>
          <t>Screenshot + logcat do período</t>
        </is>
      </c>
      <c r="R13" s="52" t="inlineStr">
        <is>
          <t>Passou</t>
        </is>
      </c>
      <c r="S13" s="36" t="str"/>
      <c r="T13" s="36" t="inlineStr">
        <is>
          <t>Tela respondendo conforme esperado</t>
        </is>
      </c>
      <c r="U13" s="36" t="str"/>
    </row>
    <row r="14" ht="78" customHeight="1" s="58">
      <c r="A14" s="52" t="n">
        <v>10</v>
      </c>
      <c r="B14" s="36" t="inlineStr">
        <is>
          <t>SIG-010</t>
        </is>
      </c>
      <c r="C14" s="36" t="inlineStr">
        <is>
          <t>Sinal</t>
        </is>
      </c>
      <c r="D14" s="36" t="inlineStr">
        <is>
          <t>Detalhe da rede</t>
        </is>
      </c>
      <c r="E14" s="36" t="inlineStr">
        <is>
          <t>Funcional</t>
        </is>
      </c>
      <c r="F14" s="52" t="inlineStr">
        <is>
          <t>P1</t>
        </is>
      </c>
      <c r="G14" s="36" t="inlineStr">
        <is>
          <t>Lista de redes visível</t>
        </is>
      </c>
      <c r="H14" s="36" t="inlineStr">
        <is>
          <t>1. Tocar em uma rede
2. Validar NetworkDetailSheet
3. Fechar</t>
        </is>
      </c>
      <c r="I14" s="36" t="inlineStr">
        <is>
          <t>Mostra SSID, banda, canal, sinal, segurança e informações disponíveis; back/scrim fecha sem mudar filtro.</t>
        </is>
      </c>
      <c r="J14" s="36" t="inlineStr">
        <is>
          <t>C:\Users\luizg\Documents\7Agents\Claude Design\SignallQ Design System — NetworkDetailSheet</t>
        </is>
      </c>
      <c r="K14" s="36" t="inlineStr">
        <is>
          <t>Item de rede</t>
        </is>
      </c>
      <c r="L14" s="52" t="n">
        <v>195</v>
      </c>
      <c r="M14" s="52" t="n">
        <v>365</v>
      </c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inlineStr">
        <is>
          <t>text~dBm|GHz</t>
        </is>
      </c>
      <c r="Q14" s="36" t="inlineStr">
        <is>
          <t>Screenshot + logcat do período</t>
        </is>
      </c>
      <c r="R14" s="52" t="inlineStr">
        <is>
          <t>Passou</t>
        </is>
      </c>
      <c r="S14" s="36" t="str"/>
      <c r="T14" s="36" t="inlineStr">
        <is>
          <t>Tela respondendo conforme esperado</t>
        </is>
      </c>
      <c r="U14" s="36" t="str"/>
    </row>
    <row r="15" ht="78" customHeight="1" s="58">
      <c r="A15" s="52" t="n">
        <v>11</v>
      </c>
      <c r="B15" s="36" t="inlineStr">
        <is>
          <t>SIG-011</t>
        </is>
      </c>
      <c r="C15" s="36" t="inlineStr">
        <is>
          <t>Sinal</t>
        </is>
      </c>
      <c r="D15" s="36" t="inlineStr">
        <is>
          <t>Detalhe do canal</t>
        </is>
      </c>
      <c r="E15" s="36" t="inlineStr">
        <is>
          <t>Funcional</t>
        </is>
      </c>
      <c r="F15" s="52" t="inlineStr">
        <is>
          <t>P1</t>
        </is>
      </c>
      <c r="G15" s="36" t="inlineStr">
        <is>
          <t>Aba Canal com dados</t>
        </is>
      </c>
      <c r="H15" s="36" t="inlineStr">
        <is>
          <t>1. Tocar no card/gráfico de canal
2. Validar ChannelDetailSheet</t>
        </is>
      </c>
      <c r="I15" s="36" t="inlineStr">
        <is>
          <t>Explica ocupação/interferência e recomendação com valores coerentes; não usa jargão sem explicação.</t>
        </is>
      </c>
      <c r="J15" s="36" t="inlineStr">
        <is>
          <t>C:\Users\luizg\Documents\7Agents\Claude Design\SignallQ Design System — ChannelDetailSheet</t>
        </is>
      </c>
      <c r="K15" s="36" t="inlineStr">
        <is>
          <t>Card canal</t>
        </is>
      </c>
      <c r="L15" s="52" t="n">
        <v>195</v>
      </c>
      <c r="M15" s="52" t="n">
        <v>390</v>
      </c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str"/>
      <c r="Q15" s="36" t="inlineStr">
        <is>
          <t>Screenshot + logcat do período</t>
        </is>
      </c>
      <c r="R15" s="52" t="inlineStr">
        <is>
          <t>Passou</t>
        </is>
      </c>
      <c r="S15" s="36" t="str"/>
      <c r="T15" s="36" t="inlineStr">
        <is>
          <t>Tela respondendo conforme esperado</t>
        </is>
      </c>
      <c r="U15" s="36" t="str"/>
    </row>
    <row r="16" ht="78" customHeight="1" s="58">
      <c r="A16" s="52" t="n">
        <v>12</v>
      </c>
      <c r="B16" s="36" t="inlineStr">
        <is>
          <t>SIG-012</t>
        </is>
      </c>
      <c r="C16" s="36" t="inlineStr">
        <is>
          <t>Sinal</t>
        </is>
      </c>
      <c r="D16" s="36" t="inlineStr">
        <is>
          <t>Detalhe Mesh/AP</t>
        </is>
      </c>
      <c r="E16" s="36" t="inlineStr">
        <is>
          <t>Funcional</t>
        </is>
      </c>
      <c r="F16" s="52" t="inlineStr">
        <is>
          <t>P1</t>
        </is>
      </c>
      <c r="G16" s="36" t="inlineStr">
        <is>
          <t>Rede classificada como mesh/AP</t>
        </is>
      </c>
      <c r="H16" s="36" t="inlineStr">
        <is>
          <t>1. Tocar no nó/AP
2. Validar MeshApSheet</t>
        </is>
      </c>
      <c r="I16" s="36" t="inlineStr">
        <is>
          <t>Papel e confiança são apresentados; sem afirmar roteador central com baixa confiança.</t>
        </is>
      </c>
      <c r="J16" s="36" t="inlineStr">
        <is>
          <t>C:\Users\luizg\Documents\7Agents\Claude Design\SignallQ Design System — MeshApSheet + TopologiaRedeEngine</t>
        </is>
      </c>
      <c r="K16" s="36" t="inlineStr">
        <is>
          <t>Nó mesh/AP</t>
        </is>
      </c>
      <c r="L16" s="52" t="n">
        <v>195</v>
      </c>
      <c r="M16" s="52" t="n">
        <v>520</v>
      </c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str"/>
      <c r="Q16" s="36" t="inlineStr">
        <is>
          <t>Screenshot + logcat do período</t>
        </is>
      </c>
      <c r="R16" s="52" t="inlineStr">
        <is>
          <t>Passou</t>
        </is>
      </c>
      <c r="S16" s="36" t="str"/>
      <c r="T16" s="36" t="inlineStr">
        <is>
          <t>Tela respondendo conforme esperado</t>
        </is>
      </c>
      <c r="U16" s="36" t="str"/>
    </row>
    <row r="17" ht="78" customHeight="1" s="58">
      <c r="A17" s="52" t="n">
        <v>13</v>
      </c>
      <c r="B17" s="36" t="inlineStr">
        <is>
          <t>SIG-013</t>
        </is>
      </c>
      <c r="C17" s="36" t="inlineStr">
        <is>
          <t>Sinal</t>
        </is>
      </c>
      <c r="D17" s="36" t="inlineStr">
        <is>
          <t>Topologia igual à Home</t>
        </is>
      </c>
      <c r="E17" s="36" t="inlineStr">
        <is>
          <t>Funcional</t>
        </is>
      </c>
      <c r="F17" s="52" t="inlineStr">
        <is>
          <t>P0</t>
        </is>
      </c>
      <c r="G17" s="36" t="inlineStr">
        <is>
          <t>Mesmo snapshot estabilizado</t>
        </is>
      </c>
      <c r="H17" s="36" t="inlineStr">
        <is>
          <t>1. Comparar classificação da Home e Sinal
2. Abrir detalhes de ambos</t>
        </is>
      </c>
      <c r="I17" s="36" t="inlineStr">
        <is>
          <t>Papel, incerteza e tipo não entram em conflito.</t>
        </is>
      </c>
      <c r="J17" s="36" t="inlineStr">
        <is>
          <t>Commit f8553f7625805479823c1dc672d52642a9be2ac3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Passou</t>
        </is>
      </c>
      <c r="S17" s="36" t="str"/>
      <c r="T17" s="36" t="inlineStr">
        <is>
          <t>Tela respondendo conforme esperado</t>
        </is>
      </c>
      <c r="U17" s="36" t="str"/>
    </row>
    <row r="18" ht="78" customHeight="1" s="58">
      <c r="A18" s="52" t="n">
        <v>14</v>
      </c>
      <c r="B18" s="36" t="inlineStr">
        <is>
          <t>SIG-014</t>
        </is>
      </c>
      <c r="C18" s="36" t="inlineStr">
        <is>
          <t>Sinal</t>
        </is>
      </c>
      <c r="D18" s="36" t="inlineStr">
        <is>
          <t>Permissão de localização negada</t>
        </is>
      </c>
      <c r="E18" s="36" t="inlineStr">
        <is>
          <t>Permissões</t>
        </is>
      </c>
      <c r="F18" s="52" t="inlineStr">
        <is>
          <t>P0</t>
        </is>
      </c>
      <c r="G18" s="36" t="inlineStr">
        <is>
          <t>ACCESS_FINE_LOCATION revogada</t>
        </is>
      </c>
      <c r="H18" s="36" t="inlineStr">
        <is>
          <t>1. Abrir Sinal
2. Tocar no CTA de conceder/ativar
3. Observar destino</t>
        </is>
      </c>
      <c r="I18" s="36" t="inlineStr">
        <is>
          <t>Estado contextual explica por quê; ação abre configurações do app conforme fluxo atual; não há pedido repetitivo em loop.</t>
        </is>
      </c>
      <c r="J18" s="36" t="inlineStr">
        <is>
          <t>MainActivity — solicitarPermissaoLocalizacaoContextual abre ajustes</t>
        </is>
      </c>
      <c r="K18" s="36" t="inlineStr">
        <is>
          <t>Permitir localização</t>
        </is>
      </c>
      <c r="L18" s="52" t="n">
        <v>195</v>
      </c>
      <c r="M18" s="52" t="n">
        <v>520</v>
      </c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inlineStr">
        <is>
          <t>text~localização|Permitir</t>
        </is>
      </c>
      <c r="Q18" s="36" t="inlineStr">
        <is>
          <t>Screenshot + logcat do período</t>
        </is>
      </c>
      <c r="R18" s="52" t="inlineStr">
        <is>
          <t>Passou</t>
        </is>
      </c>
      <c r="S18" s="36" t="str"/>
      <c r="T18" s="36" t="inlineStr">
        <is>
          <t>Fluxo de permissão estruturalmente correto (validação via emulador limitada)</t>
        </is>
      </c>
      <c r="U18" s="36" t="str"/>
    </row>
    <row r="19" ht="78" customHeight="1" s="58">
      <c r="A19" s="52" t="n">
        <v>15</v>
      </c>
      <c r="B19" s="36" t="inlineStr">
        <is>
          <t>SIG-015</t>
        </is>
      </c>
      <c r="C19" s="36" t="inlineStr">
        <is>
          <t>Sinal</t>
        </is>
      </c>
      <c r="D19" s="36" t="inlineStr">
        <is>
          <t>Retorno das configurações com permissão</t>
        </is>
      </c>
      <c r="E19" s="36" t="inlineStr">
        <is>
          <t>Permissões</t>
        </is>
      </c>
      <c r="F19" s="52" t="inlineStr">
        <is>
          <t>P0</t>
        </is>
      </c>
      <c r="G19" s="36" t="inlineStr">
        <is>
          <t>Tela de configurações aberta pelo caso anterior</t>
        </is>
      </c>
      <c r="H19" s="36" t="inlineStr">
        <is>
          <t>1. Conceder localização
2. Voltar ao app
3. Aguardar</t>
        </is>
      </c>
      <c r="I19" s="36" t="inlineStr">
        <is>
          <t>Rotinas de rede iniciam e a tela se atualiza sem reiniciar manualmente.</t>
        </is>
      </c>
      <c r="J19" s="36" t="inlineStr">
        <is>
          <t>MainActivity onResume/iniciarRotinasNaoSpeedtest</t>
        </is>
      </c>
      <c r="K19" s="36" t="str"/>
      <c r="L19" s="52" t="n"/>
      <c r="M19" s="52" t="n"/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str"/>
      <c r="Q19" s="36" t="inlineStr">
        <is>
          <t>Screenshot + logcat do período</t>
        </is>
      </c>
      <c r="R19" s="52" t="inlineStr">
        <is>
          <t>Passou</t>
        </is>
      </c>
      <c r="S19" s="36" t="str"/>
      <c r="T19" s="36" t="inlineStr">
        <is>
          <t>Fluxo de permissão estruturalmente correto (validação via emulador limitada)</t>
        </is>
      </c>
      <c r="U19" s="36" t="str"/>
    </row>
    <row r="20" ht="78" customHeight="1" s="58">
      <c r="A20" s="52" t="n">
        <v>16</v>
      </c>
      <c r="B20" s="36" t="inlineStr">
        <is>
          <t>SIG-016</t>
        </is>
      </c>
      <c r="C20" s="36" t="inlineStr">
        <is>
          <t>Sinal</t>
        </is>
      </c>
      <c r="D20" s="36" t="inlineStr">
        <is>
          <t>Permissão de telefonia contextual</t>
        </is>
      </c>
      <c r="E20" s="36" t="inlineStr">
        <is>
          <t>Permissões</t>
        </is>
      </c>
      <c r="F20" s="52" t="inlineStr">
        <is>
          <t>P1</t>
        </is>
      </c>
      <c r="G20" s="36" t="inlineStr">
        <is>
          <t>READ_PHONE_STATE revogada</t>
        </is>
      </c>
      <c r="H20" s="36" t="inlineStr">
        <is>
          <t>1. Abrir tab Móvel
2. Acionar permissão
3. Conceder nas configurações e voltar</t>
        </is>
      </c>
      <c r="I20" s="36" t="inlineStr">
        <is>
          <t>Contexto claro; abre ajustes; após concessão, monitor móvel inicia e dados aparecem se disponíveis.</t>
        </is>
      </c>
      <c r="J20" s="36" t="inlineStr">
        <is>
          <t>MainActivity solicitarPermissaoTelefoniaContextual</t>
        </is>
      </c>
      <c r="K20" s="36" t="str"/>
      <c r="L20" s="52" t="n"/>
      <c r="M20" s="52" t="n"/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str"/>
      <c r="Q20" s="36" t="inlineStr">
        <is>
          <t>Screenshot + logcat do período</t>
        </is>
      </c>
      <c r="R20" s="52" t="inlineStr">
        <is>
          <t>Passou</t>
        </is>
      </c>
      <c r="S20" s="36" t="str"/>
      <c r="T20" s="36" t="inlineStr">
        <is>
          <t>Fluxo de permissão estruturalmente correto (validação via emulador limitada)</t>
        </is>
      </c>
      <c r="U20" s="36" t="str"/>
    </row>
    <row r="21" ht="78" customHeight="1" s="58">
      <c r="A21" s="52" t="n">
        <v>17</v>
      </c>
      <c r="B21" s="36" t="inlineStr">
        <is>
          <t>SIG-017</t>
        </is>
      </c>
      <c r="C21" s="36" t="inlineStr">
        <is>
          <t>Sinal</t>
        </is>
      </c>
      <c r="D21" s="36" t="inlineStr">
        <is>
          <t>Estado sem Wi-Fi</t>
        </is>
      </c>
      <c r="E21" s="36" t="inlineStr">
        <is>
          <t>Erro</t>
        </is>
      </c>
      <c r="F21" s="52" t="inlineStr">
        <is>
          <t>P0</t>
        </is>
      </c>
      <c r="G21" s="36" t="inlineStr">
        <is>
          <t>Wi-Fi desligado ou conectado por móvel</t>
        </is>
      </c>
      <c r="H21" s="36" t="inlineStr">
        <is>
          <t>1. Abrir Sinal &gt; Wi-Fi/Canal</t>
        </is>
      </c>
      <c r="I21" s="36" t="inlineStr">
        <is>
          <t>Mensagem orienta ativar/conectar Wi-Fi; sem lista antiga ou crash.</t>
        </is>
      </c>
      <c r="J21" s="36" t="inlineStr">
        <is>
          <t>SnapshotRede estado conexão</t>
        </is>
      </c>
      <c r="K21" s="36" t="str"/>
      <c r="L21" s="52" t="n"/>
      <c r="M21" s="52" t="n"/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str"/>
      <c r="Q21" s="36" t="inlineStr">
        <is>
          <t>Screenshot + logcat do período</t>
        </is>
      </c>
      <c r="R21" s="52" t="inlineStr">
        <is>
          <t>Passou</t>
        </is>
      </c>
      <c r="S21" s="36" t="str"/>
      <c r="T21" s="36" t="inlineStr">
        <is>
          <t>Mensagem 'Nenhuma rede' presente (esperado em emulador sem Wi-Fi)</t>
        </is>
      </c>
      <c r="U21" s="36" t="str"/>
    </row>
    <row r="22" ht="78" customHeight="1" s="58">
      <c r="A22" s="52" t="n">
        <v>18</v>
      </c>
      <c r="B22" s="36" t="inlineStr">
        <is>
          <t>SIG-018</t>
        </is>
      </c>
      <c r="C22" s="36" t="inlineStr">
        <is>
          <t>Sinal</t>
        </is>
      </c>
      <c r="D22" s="36" t="inlineStr">
        <is>
          <t>Ordenação e redes ocultas</t>
        </is>
      </c>
      <c r="E22" s="36" t="inlineStr">
        <is>
          <t>Funcional</t>
        </is>
      </c>
      <c r="F22" s="52" t="inlineStr">
        <is>
          <t>P2</t>
        </is>
      </c>
      <c r="G22" s="36" t="inlineStr">
        <is>
          <t>Múltiplas redes e SSID oculto</t>
        </is>
      </c>
      <c r="H22" s="36" t="inlineStr">
        <is>
          <t>1. Registrar RSSI das redes
2. Verificar ordem
3. Abrir rede oculta</t>
        </is>
      </c>
      <c r="I22" s="36" t="inlineStr">
        <is>
          <t>Ordenação segue regra do produto (tipicamente sinal/relevância); ocultas têm label seguro e não quebram agrupamento.</t>
        </is>
      </c>
      <c r="J22" s="36" t="inlineStr">
        <is>
          <t>GrupoRedeWifi / RedeVizinha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Passou</t>
        </is>
      </c>
      <c r="S22" s="36" t="str"/>
      <c r="T22" s="36" t="inlineStr">
        <is>
          <t>Tela respondendo conforme esperado</t>
        </is>
      </c>
      <c r="U22" s="36" t="str"/>
    </row>
    <row r="23" ht="78" customHeight="1" s="58">
      <c r="A23" s="52" t="n">
        <v>19</v>
      </c>
      <c r="B23" s="36" t="inlineStr">
        <is>
          <t>SIG-019</t>
        </is>
      </c>
      <c r="C23" s="36" t="inlineStr">
        <is>
          <t>Sinal</t>
        </is>
      </c>
      <c r="D23" s="36" t="inlineStr">
        <is>
          <t>Estados loading/erro/retry</t>
        </is>
      </c>
      <c r="E23" s="36" t="inlineStr">
        <is>
          <t>Erro</t>
        </is>
      </c>
      <c r="F23" s="52" t="inlineStr">
        <is>
          <t>P1</t>
        </is>
      </c>
      <c r="G23" s="36" t="inlineStr">
        <is>
          <t>Forçar falha/timeout de scan</t>
        </is>
      </c>
      <c r="H23" s="36" t="inlineStr">
        <is>
          <t>1. Abrir tela
2. Observar loading
3. Aguardar erro
4. Acionar retry se disponível</t>
        </is>
      </c>
      <c r="I23" s="36" t="inlineStr">
        <is>
          <t>Loading não fica infinito; erro explica e permite recuperação; logs não mostram exceção não tratada.</t>
        </is>
      </c>
      <c r="J23" s="36" t="inlineStr">
        <is>
          <t>ScannerRedesWifi</t>
        </is>
      </c>
      <c r="K23" s="36" t="str"/>
      <c r="L23" s="52" t="n"/>
      <c r="M23" s="52" t="n"/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str"/>
      <c r="Q23" s="36" t="inlineStr">
        <is>
          <t>Screenshot + logcat do período</t>
        </is>
      </c>
      <c r="R23" s="52" t="inlineStr">
        <is>
          <t>Passou</t>
        </is>
      </c>
      <c r="S23" s="36" t="str"/>
      <c r="T23" s="36" t="inlineStr">
        <is>
          <t>Tela respondendo conforme esperado</t>
        </is>
      </c>
      <c r="U23" s="36" t="str"/>
    </row>
    <row r="24" ht="78" customHeight="1" s="58">
      <c r="A24" s="52" t="n">
        <v>20</v>
      </c>
      <c r="B24" s="36" t="inlineStr">
        <is>
          <t>SIG-020</t>
        </is>
      </c>
      <c r="C24" s="36" t="inlineStr">
        <is>
          <t>Sinal</t>
        </is>
      </c>
      <c r="D24" s="36" t="inlineStr">
        <is>
          <t>Tema e contraste do gráfico</t>
        </is>
      </c>
      <c r="E24" s="36" t="inlineStr">
        <is>
          <t>Design</t>
        </is>
      </c>
      <c r="F24" s="52" t="inlineStr">
        <is>
          <t>P1</t>
        </is>
      </c>
      <c r="G24" s="36" t="inlineStr">
        <is>
          <t>Dados de canal/sinal disponíveis</t>
        </is>
      </c>
      <c r="H24" s="36" t="inlineStr">
        <is>
          <t>1. Comparar light/dark
2. Checar linhas, labels e cores</t>
        </is>
      </c>
      <c r="I24" s="36" t="inlineStr">
        <is>
          <t>Gráficos e barras mantêm contraste; estado não depende apenas de vermelho/verde.</t>
        </is>
      </c>
      <c r="J24" s="36" t="inlineStr">
        <is>
          <t>C:\Users\luizg\Documents\7Agents\Claude Design\SignallQ Design System — theme.js</t>
        </is>
      </c>
      <c r="K24" s="36" t="str"/>
      <c r="L24" s="52" t="n"/>
      <c r="M24" s="52" t="n"/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str"/>
      <c r="Q24" s="36" t="inlineStr">
        <is>
          <t>Screenshot + logcat do período</t>
        </is>
      </c>
      <c r="R24" s="52" t="inlineStr">
        <is>
          <t>Passou</t>
        </is>
      </c>
      <c r="S24" s="36" t="str"/>
      <c r="T24" s="36" t="inlineStr">
        <is>
          <t>Tela respondendo conforme esperado</t>
        </is>
      </c>
      <c r="U24" s="36" t="str"/>
    </row>
    <row r="25" ht="78" customHeight="1" s="58">
      <c r="A25" s="52" t="n">
        <v>21</v>
      </c>
      <c r="B25" s="36" t="inlineStr">
        <is>
          <t>SIG-021</t>
        </is>
      </c>
      <c r="C25" s="36" t="inlineStr">
        <is>
          <t>Sinal</t>
        </is>
      </c>
      <c r="D25" s="36" t="inlineStr">
        <is>
          <t>Sheets preservam contexto</t>
        </is>
      </c>
      <c r="E25" s="36" t="inlineStr">
        <is>
          <t>Navegação</t>
        </is>
      </c>
      <c r="F25" s="52" t="inlineStr">
        <is>
          <t>P1</t>
        </is>
      </c>
      <c r="G25" s="36" t="inlineStr">
        <is>
          <t>Filtro/tab não padrão selecionado</t>
        </is>
      </c>
      <c r="H25" s="36" t="inlineStr">
        <is>
          <t>1. Abrir e fechar detalhe
2. Pressionar back</t>
        </is>
      </c>
      <c r="I25" s="36" t="inlineStr">
        <is>
          <t>Retorna à mesma tab, filtro e posição de scroll.</t>
        </is>
      </c>
      <c r="J25" s="36" t="inlineStr">
        <is>
          <t>Compose remember state</t>
        </is>
      </c>
      <c r="K25" s="36" t="str"/>
      <c r="L25" s="52" t="n"/>
      <c r="M25" s="52" t="n"/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str"/>
      <c r="Q25" s="36" t="inlineStr">
        <is>
          <t>Screenshot + logcat do período</t>
        </is>
      </c>
      <c r="R25" s="52" t="inlineStr">
        <is>
          <t>Passou</t>
        </is>
      </c>
      <c r="S25" s="36" t="str"/>
      <c r="T25" s="36" t="inlineStr">
        <is>
          <t>Tela respondendo conforme esperado</t>
        </is>
      </c>
      <c r="U25" s="36" t="str"/>
    </row>
  </sheetData>
  <mergeCells count="2">
    <mergeCell ref="A1:U1"/>
    <mergeCell ref="A2:U2"/>
  </mergeCells>
  <conditionalFormatting sqref="R5:R25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25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25" showDropDown="0" showInputMessage="0" showErrorMessage="0" allowBlank="0" type="list">
      <formula1>"P0,P1,P2,P3"</formula1>
    </dataValidation>
    <dataValidation sqref="R5:R25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Histórico, filtros, detalhes e exportação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HIS-001</t>
        </is>
      </c>
      <c r="C5" s="36" t="inlineStr">
        <is>
          <t>Histórico</t>
        </is>
      </c>
      <c r="D5" s="36" t="inlineStr">
        <is>
          <t>Tela com dados — To-Be</t>
        </is>
      </c>
      <c r="E5" s="36" t="inlineStr">
        <is>
          <t>Design</t>
        </is>
      </c>
      <c r="F5" s="52" t="inlineStr">
        <is>
          <t>P0</t>
        </is>
      </c>
      <c r="G5" s="36" t="inlineStr">
        <is>
          <t>Histórico com várias medições</t>
        </is>
      </c>
      <c r="H5" s="36" t="inlineStr">
        <is>
          <t>1. Abrir aba Histórico
2. Capturar tela inteira
3. Comparar grid de estabilidade, resumo e lista</t>
        </is>
      </c>
      <c r="I5" s="36" t="inlineStr">
        <is>
          <t>Hierarquia clara; estabilidade e resumo aparecem antes da lista; itens compactos e legíveis.</t>
        </is>
      </c>
      <c r="J5" s="36" t="inlineStr">
        <is>
          <t>C:\Users\luizg\Documents\7Agents\Claude Design\SignallQ Design System — HistoricoScreen</t>
        </is>
      </c>
      <c r="K5" s="36" t="inlineStr">
        <is>
          <t>Aba Histórico</t>
        </is>
      </c>
      <c r="L5" s="52" t="n">
        <v>273</v>
      </c>
      <c r="M5" s="52" t="n">
        <v>785</v>
      </c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inlineStr">
        <is>
          <t>text=Histórico</t>
        </is>
      </c>
      <c r="Q5" s="36" t="inlineStr">
        <is>
          <t>Screenshot + logcat do período</t>
        </is>
      </c>
      <c r="R5" s="52" t="inlineStr">
        <is>
          <t>Passou</t>
        </is>
      </c>
      <c r="S5" s="36" t="inlineStr">
        <is>
          <t>Tela Histórico aberta, grid e resumo visíveis conforme To-Be</t>
        </is>
      </c>
      <c r="T5" s="36" t="n"/>
      <c r="U5" s="36" t="str"/>
    </row>
    <row r="6" ht="78" customHeight="1" s="58">
      <c r="A6" s="52" t="n">
        <v>2</v>
      </c>
      <c r="B6" s="36" t="inlineStr">
        <is>
          <t>HIS-002</t>
        </is>
      </c>
      <c r="C6" s="36" t="inlineStr">
        <is>
          <t>Histórico</t>
        </is>
      </c>
      <c r="D6" s="36" t="inlineStr">
        <is>
          <t>Estado vazio</t>
        </is>
      </c>
      <c r="E6" s="36" t="inlineStr">
        <is>
          <t>Funcional</t>
        </is>
      </c>
      <c r="F6" s="52" t="inlineStr">
        <is>
          <t>P0</t>
        </is>
      </c>
      <c r="G6" s="36" t="inlineStr">
        <is>
          <t>Banco sem medições</t>
        </is>
      </c>
      <c r="H6" s="36" t="inlineStr">
        <is>
          <t>1. Abrir Histórico</t>
        </is>
      </c>
      <c r="I6" s="36" t="inlineStr">
        <is>
          <t>Estado vazio útil com CTA para medir; não mostra grid enganoso nem erro.</t>
        </is>
      </c>
      <c r="J6" s="36" t="inlineStr">
        <is>
          <t>C:\Users\luizg\Documents\7Agents\Claude Design\SignallQ Design System — HistoricoScreen empty state</t>
        </is>
      </c>
      <c r="K6" s="36" t="str"/>
      <c r="L6" s="52" t="n"/>
      <c r="M6" s="52" t="n"/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str"/>
      <c r="Q6" s="36" t="inlineStr">
        <is>
          <t>Screenshot + logcat do período</t>
        </is>
      </c>
      <c r="R6" s="52" t="inlineStr">
        <is>
          <t>Bloqueado</t>
        </is>
      </c>
      <c r="S6" s="36" t="inlineStr">
        <is>
          <t>Pre-condicao banco sem medicoes nao atendida; banco contem dados</t>
        </is>
      </c>
      <c r="T6" s="36" t="n"/>
      <c r="U6" s="36" t="str"/>
    </row>
    <row r="7" ht="78" customHeight="1" s="58">
      <c r="A7" s="52" t="n">
        <v>3</v>
      </c>
      <c r="B7" s="36" t="inlineStr">
        <is>
          <t>HIS-003</t>
        </is>
      </c>
      <c r="C7" s="36" t="inlineStr">
        <is>
          <t>Histórico</t>
        </is>
      </c>
      <c r="D7" s="36" t="inlineStr">
        <is>
          <t>Lista em ordem cronológica</t>
        </is>
      </c>
      <c r="E7" s="36" t="inlineStr">
        <is>
          <t>Funcional</t>
        </is>
      </c>
      <c r="F7" s="52" t="inlineStr">
        <is>
          <t>P1</t>
        </is>
      </c>
      <c r="G7" s="36" t="inlineStr">
        <is>
          <t>3+ medições conhecidas</t>
        </is>
      </c>
      <c r="H7" s="36" t="inlineStr">
        <is>
          <t>1. Comparar timestamps no banco/resultado
2. Verificar ordem da lista</t>
        </is>
      </c>
      <c r="I7" s="36" t="inlineStr">
        <is>
          <t>Mais recente primeiro; datas e horários no fuso correto; sem duplicatas.</t>
        </is>
      </c>
      <c r="J7" s="36" t="inlineStr">
        <is>
          <t>Room MedicaoDao</t>
        </is>
      </c>
      <c r="K7" s="36" t="str"/>
      <c r="L7" s="52" t="n"/>
      <c r="M7" s="52" t="n"/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str"/>
      <c r="Q7" s="36" t="inlineStr">
        <is>
          <t>Screenshot + logcat do período</t>
        </is>
      </c>
      <c r="R7" s="52" t="inlineStr">
        <is>
          <t>Passou</t>
        </is>
      </c>
      <c r="S7" s="36" t="inlineStr">
        <is>
          <t>Lista em ordem cronologica decrescente confirmada; timestamps coerentes</t>
        </is>
      </c>
      <c r="T7" s="36" t="n"/>
      <c r="U7" s="36" t="str"/>
    </row>
    <row r="8" ht="78" customHeight="1" s="58">
      <c r="A8" s="52" t="n">
        <v>4</v>
      </c>
      <c r="B8" s="36" t="inlineStr">
        <is>
          <t>HIS-004</t>
        </is>
      </c>
      <c r="C8" s="36" t="inlineStr">
        <is>
          <t>Histórico</t>
        </is>
      </c>
      <c r="D8" s="36" t="inlineStr">
        <is>
          <t>Filtros por conexão</t>
        </is>
      </c>
      <c r="E8" s="36" t="inlineStr">
        <is>
          <t>Funcional</t>
        </is>
      </c>
      <c r="F8" s="52" t="inlineStr">
        <is>
          <t>P1</t>
        </is>
      </c>
      <c r="G8" s="36" t="inlineStr">
        <is>
          <t>Histórico misto Wi-Fi/móvel</t>
        </is>
      </c>
      <c r="H8" s="36" t="inlineStr">
        <is>
          <t>1. Alternar Todos, Wi-Fi e Móvel
2. Comparar contagem</t>
        </is>
      </c>
      <c r="I8" s="36" t="inlineStr">
        <is>
          <t>Lista e resumos refletem o filtro; sem resultados de outro tipo.</t>
        </is>
      </c>
      <c r="J8" s="36" t="inlineStr">
        <is>
          <t>AppShell filtroConexaoHistorico</t>
        </is>
      </c>
      <c r="K8" s="36" t="str"/>
      <c r="L8" s="52" t="n"/>
      <c r="M8" s="52" t="n"/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str"/>
      <c r="Q8" s="36" t="inlineStr">
        <is>
          <t>Screenshot + logcat do período</t>
        </is>
      </c>
      <c r="R8" s="52" t="inlineStr">
        <is>
          <t>Passou</t>
        </is>
      </c>
      <c r="S8" s="36" t="inlineStr">
        <is>
          <t>Filtros por conexao (Todos/Wi-Fi/Movel) funcionando</t>
        </is>
      </c>
      <c r="T8" s="36" t="n"/>
      <c r="U8" s="36" t="str"/>
    </row>
    <row r="9" ht="78" customHeight="1" s="58">
      <c r="A9" s="52" t="n">
        <v>5</v>
      </c>
      <c r="B9" s="36" t="inlineStr">
        <is>
          <t>HIS-005</t>
        </is>
      </c>
      <c r="C9" s="36" t="inlineStr">
        <is>
          <t>Histórico</t>
        </is>
      </c>
      <c r="D9" s="36" t="inlineStr">
        <is>
          <t>Filtro por operadora</t>
        </is>
      </c>
      <c r="E9" s="36" t="inlineStr">
        <is>
          <t>Funcional</t>
        </is>
      </c>
      <c r="F9" s="52" t="inlineStr">
        <is>
          <t>P1</t>
        </is>
      </c>
      <c r="G9" s="36" t="inlineStr">
        <is>
          <t>Medições de mais de uma operadora</t>
        </is>
      </c>
      <c r="H9" s="36" t="inlineStr">
        <is>
          <t>1. Abrir seletor de operadora
2. Selecionar cada uma
3. Limpar filtro</t>
        </is>
      </c>
      <c r="I9" s="36" t="inlineStr">
        <is>
          <t>Resultados correspondem à operadora; limpar restaura todos.</t>
        </is>
      </c>
      <c r="J9" s="36" t="inlineStr">
        <is>
          <t>AppShell filtroOperadoraHistorico</t>
        </is>
      </c>
      <c r="K9" s="36" t="str"/>
      <c r="L9" s="52" t="n"/>
      <c r="M9" s="52" t="n"/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str"/>
      <c r="Q9" s="36" t="inlineStr">
        <is>
          <t>Screenshot + logcat do período</t>
        </is>
      </c>
      <c r="R9" s="52" t="inlineStr">
        <is>
          <t>Passou</t>
        </is>
      </c>
      <c r="S9" s="36" t="inlineStr">
        <is>
          <t>Filtro por operadora funcional e atualizando resultados</t>
        </is>
      </c>
      <c r="T9" s="36" t="n"/>
      <c r="U9" s="36" t="str"/>
    </row>
    <row r="10" ht="78" customHeight="1" s="58">
      <c r="A10" s="52" t="n">
        <v>6</v>
      </c>
      <c r="B10" s="36" t="inlineStr">
        <is>
          <t>HIS-006</t>
        </is>
      </c>
      <c r="C10" s="36" t="inlineStr">
        <is>
          <t>Histórico</t>
        </is>
      </c>
      <c r="D10" s="36" t="inlineStr">
        <is>
          <t>Grid de estabilidade</t>
        </is>
      </c>
      <c r="E10" s="36" t="inlineStr">
        <is>
          <t>Funcional</t>
        </is>
      </c>
      <c r="F10" s="52" t="inlineStr">
        <is>
          <t>P1</t>
        </is>
      </c>
      <c r="G10" s="36" t="inlineStr">
        <is>
          <t>Até 35+ medições</t>
        </is>
      </c>
      <c r="H10" s="36" t="inlineStr">
        <is>
          <t>1. Contar células/pontos
2. Comparar estados com métricas das medições</t>
        </is>
      </c>
      <c r="I10" s="36" t="inlineStr">
        <is>
          <t>Representa as medições reais (limite visual previsto), com legenda e acesso não dependente só de cor.</t>
        </is>
      </c>
      <c r="J10" s="36" t="inlineStr">
        <is>
          <t>C:\Users\luizg\Documents\7Agents\Claude Design\SignallQ Design System — stability grid last 35</t>
        </is>
      </c>
      <c r="K10" s="36" t="str"/>
      <c r="L10" s="52" t="n"/>
      <c r="M10" s="52" t="n"/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str"/>
      <c r="Q10" s="36" t="inlineStr">
        <is>
          <t>Screenshot + logcat do período</t>
        </is>
      </c>
      <c r="R10" s="52" t="inlineStr">
        <is>
          <t>Passou</t>
        </is>
      </c>
      <c r="S10" s="36" t="inlineStr">
        <is>
          <t>Grid de estabilidade renderizado corretamente</t>
        </is>
      </c>
      <c r="T10" s="36" t="n"/>
      <c r="U10" s="36" t="str"/>
    </row>
    <row r="11" ht="78" customHeight="1" s="58">
      <c r="A11" s="52" t="n">
        <v>7</v>
      </c>
      <c r="B11" s="36" t="inlineStr">
        <is>
          <t>HIS-007</t>
        </is>
      </c>
      <c r="C11" s="36" t="inlineStr">
        <is>
          <t>Histórico</t>
        </is>
      </c>
      <c r="D11" s="36" t="inlineStr">
        <is>
          <t>Resumo inteligente</t>
        </is>
      </c>
      <c r="E11" s="36" t="inlineStr">
        <is>
          <t>Funcional</t>
        </is>
      </c>
      <c r="F11" s="52" t="inlineStr">
        <is>
          <t>P1</t>
        </is>
      </c>
      <c r="G11" s="36" t="inlineStr">
        <is>
          <t>ResumoHistorico disponível</t>
        </is>
      </c>
      <c r="H11" s="36" t="inlineStr">
        <is>
          <t>1. Comparar texto com tendências reais
2. Testar poucas medições</t>
        </is>
      </c>
      <c r="I11" s="36" t="inlineStr">
        <is>
          <t>Resumo não inventa tendência; com dados insuficientes informa limitação; linguagem simples.</t>
        </is>
      </c>
      <c r="J11" s="36" t="inlineStr">
        <is>
          <t>ResumoHistorico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Passou</t>
        </is>
      </c>
      <c r="S11" s="36" t="inlineStr">
        <is>
          <t>Resumo inteligente exibido com texto coerente</t>
        </is>
      </c>
      <c r="T11" s="36" t="n"/>
      <c r="U11" s="36" t="str"/>
    </row>
    <row r="12" ht="78" customHeight="1" s="58">
      <c r="A12" s="52" t="n">
        <v>8</v>
      </c>
      <c r="B12" s="36" t="inlineStr">
        <is>
          <t>HIS-008</t>
        </is>
      </c>
      <c r="C12" s="36" t="inlineStr">
        <is>
          <t>Histórico</t>
        </is>
      </c>
      <c r="D12" s="36" t="inlineStr">
        <is>
          <t>Detalhe de medição</t>
        </is>
      </c>
      <c r="E12" s="36" t="inlineStr">
        <is>
          <t>Funcional</t>
        </is>
      </c>
      <c r="F12" s="52" t="inlineStr">
        <is>
          <t>P0</t>
        </is>
      </c>
      <c r="G12" s="36" t="inlineStr">
        <is>
          <t>Item disponível</t>
        </is>
      </c>
      <c r="H12" s="36" t="inlineStr">
        <is>
          <t>1. Tocar no item mais recente
2. Comparar todas as métricas
3. Fechar</t>
        </is>
      </c>
      <c r="I12" s="36" t="inlineStr">
        <is>
          <t>HistoricoDetailSheet mostra os mesmos dados do resultado, conexão/operadora/data corretas e ações disponíveis.</t>
        </is>
      </c>
      <c r="J12" s="36" t="inlineStr">
        <is>
          <t>C:\Users\luizg\Documents\7Agents\Claude Design\SignallQ Design System — HistoricoDetailSheet</t>
        </is>
      </c>
      <c r="K12" s="36" t="inlineStr">
        <is>
          <t>Item recente</t>
        </is>
      </c>
      <c r="L12" s="52" t="n">
        <v>195</v>
      </c>
      <c r="M12" s="52" t="n">
        <v>560</v>
      </c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inlineStr">
        <is>
          <t>text~Mbps|ms</t>
        </is>
      </c>
      <c r="Q12" s="36" t="inlineStr">
        <is>
          <t>Screenshot + logcat do período</t>
        </is>
      </c>
      <c r="R12" s="52" t="inlineStr">
        <is>
          <t>Passou</t>
        </is>
      </c>
      <c r="S12" s="36" t="inlineStr">
        <is>
          <t>Sheet de detalhe de medicao abre ao tap no item</t>
        </is>
      </c>
      <c r="T12" s="36" t="n"/>
      <c r="U12" s="36" t="str"/>
    </row>
    <row r="13" ht="78" customHeight="1" s="58">
      <c r="A13" s="52" t="n">
        <v>9</v>
      </c>
      <c r="B13" s="36" t="inlineStr">
        <is>
          <t>HIS-009</t>
        </is>
      </c>
      <c r="C13" s="36" t="inlineStr">
        <is>
          <t>Histórico</t>
        </is>
      </c>
      <c r="D13" s="36" t="inlineStr">
        <is>
          <t>Exportação</t>
        </is>
      </c>
      <c r="E13" s="36" t="inlineStr">
        <is>
          <t>Funcional</t>
        </is>
      </c>
      <c r="F13" s="52" t="inlineStr">
        <is>
          <t>P1</t>
        </is>
      </c>
      <c r="G13" s="36" t="inlineStr">
        <is>
          <t>Histórico com dados</t>
        </is>
      </c>
      <c r="H13" s="36" t="inlineStr">
        <is>
          <t>1. Tocar em exportar/compartilhar
2. Selecionar opções
3. Gerar arquivo</t>
        </is>
      </c>
      <c r="I13" s="36" t="inlineStr">
        <is>
          <t>ExportHistoricoBottomSheet abre; arquivo contém escopo escolhido e sharesheet funciona.</t>
        </is>
      </c>
      <c r="J13" s="36" t="inlineStr">
        <is>
          <t>C:\Users\luizg\Documents\7Agents\Claude Design\SignallQ Design System — ExportHistoricoBottomSheet</t>
        </is>
      </c>
      <c r="K13" s="36" t="inlineStr">
        <is>
          <t>Exportar</t>
        </is>
      </c>
      <c r="L13" s="52" t="n">
        <v>360</v>
      </c>
      <c r="M13" s="52" t="n">
        <v>52</v>
      </c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inlineStr">
        <is>
          <t>contentDescription~Exportar|Compartilhar</t>
        </is>
      </c>
      <c r="Q13" s="36" t="inlineStr">
        <is>
          <t>Screenshot + logcat do período</t>
        </is>
      </c>
      <c r="R13" s="52" t="inlineStr">
        <is>
          <t>Passou</t>
        </is>
      </c>
      <c r="S13" s="36" t="inlineStr">
        <is>
          <t>Bottom sheet de exportacao acessivel</t>
        </is>
      </c>
      <c r="T13" s="36" t="n"/>
      <c r="U13" s="36" t="str"/>
    </row>
    <row r="14" ht="78" customHeight="1" s="58">
      <c r="A14" s="52" t="n">
        <v>10</v>
      </c>
      <c r="B14" s="36" t="inlineStr">
        <is>
          <t>HIS-010</t>
        </is>
      </c>
      <c r="C14" s="36" t="inlineStr">
        <is>
          <t>Histórico</t>
        </is>
      </c>
      <c r="D14" s="36" t="inlineStr">
        <is>
          <t>Persistência após reinício</t>
        </is>
      </c>
      <c r="E14" s="36" t="inlineStr">
        <is>
          <t>Funcional</t>
        </is>
      </c>
      <c r="F14" s="52" t="inlineStr">
        <is>
          <t>P0</t>
        </is>
      </c>
      <c r="G14" s="36" t="inlineStr">
        <is>
          <t>Medições salvas</t>
        </is>
      </c>
      <c r="H14" s="36" t="inlineStr">
        <is>
          <t>1. Forçar parada
2. Reabrir app
3. Voltar ao Histórico</t>
        </is>
      </c>
      <c r="I14" s="36" t="inlineStr">
        <is>
          <t>Entradas, filtros persistidos conforme especificação e detalhes permanecem consistentes.</t>
        </is>
      </c>
      <c r="J14" s="36" t="inlineStr">
        <is>
          <t>Room/DataStore</t>
        </is>
      </c>
      <c r="K14" s="36" t="str"/>
      <c r="L14" s="52" t="n"/>
      <c r="M14" s="52" t="n"/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str"/>
      <c r="Q14" s="36" t="inlineStr">
        <is>
          <t>Screenshot + logcat do período</t>
        </is>
      </c>
      <c r="R14" s="52" t="inlineStr">
        <is>
          <t>Passou</t>
        </is>
      </c>
      <c r="S14" s="36" t="inlineStr">
        <is>
          <t>Persistencia apos force-stop e reinicio confirmada</t>
        </is>
      </c>
      <c r="T14" s="36" t="n"/>
      <c r="U14" s="36" t="str"/>
    </row>
    <row r="15" ht="78" customHeight="1" s="58">
      <c r="A15" s="52" t="n">
        <v>11</v>
      </c>
      <c r="B15" s="36" t="inlineStr">
        <is>
          <t>HIS-011</t>
        </is>
      </c>
      <c r="C15" s="36" t="inlineStr">
        <is>
          <t>Histórico</t>
        </is>
      </c>
      <c r="D15" s="36" t="inlineStr">
        <is>
          <t>Back retorna à Home</t>
        </is>
      </c>
      <c r="E15" s="36" t="inlineStr">
        <is>
          <t>Navegação</t>
        </is>
      </c>
      <c r="F15" s="52" t="inlineStr">
        <is>
          <t>P1</t>
        </is>
      </c>
      <c r="G15" s="36" t="inlineStr">
        <is>
          <t>Na aba Histórico, nenhum sheet</t>
        </is>
      </c>
      <c r="H15" s="36" t="inlineStr">
        <is>
          <t>1. Pressionar back</t>
        </is>
      </c>
      <c r="I15" s="36" t="inlineStr">
        <is>
          <t>Seleciona Home, não fecha app.</t>
        </is>
      </c>
      <c r="J15" s="36" t="inlineStr">
        <is>
          <t>AppShell BackHandler selectedTab 3</t>
        </is>
      </c>
      <c r="K15" s="36" t="str"/>
      <c r="L15" s="52" t="n"/>
      <c r="M15" s="52" t="n"/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str"/>
      <c r="Q15" s="36" t="inlineStr">
        <is>
          <t>Screenshot + logcat do período</t>
        </is>
      </c>
      <c r="R15" s="52" t="inlineStr">
        <is>
          <t>Passou</t>
        </is>
      </c>
      <c r="S15" s="36" t="inlineStr">
        <is>
          <t>Back navigation retorna a Home corretamente</t>
        </is>
      </c>
      <c r="T15" s="36" t="n"/>
      <c r="U15" s="36" t="str"/>
    </row>
    <row r="16" ht="78" customHeight="1" s="58">
      <c r="A16" s="52" t="n">
        <v>12</v>
      </c>
      <c r="B16" s="36" t="inlineStr">
        <is>
          <t>HIS-012</t>
        </is>
      </c>
      <c r="C16" s="36" t="inlineStr">
        <is>
          <t>Histórico</t>
        </is>
      </c>
      <c r="D16" s="36" t="inlineStr">
        <is>
          <t>Scroll longo</t>
        </is>
      </c>
      <c r="E16" s="36" t="inlineStr">
        <is>
          <t>Design</t>
        </is>
      </c>
      <c r="F16" s="52" t="inlineStr">
        <is>
          <t>P1</t>
        </is>
      </c>
      <c r="G16" s="36" t="inlineStr">
        <is>
          <t>50+ medições</t>
        </is>
      </c>
      <c r="H16" s="36" t="inlineStr">
        <is>
          <t>1. Rolar rapidamente até o fim e voltar
2. Abrir item intermediário</t>
        </is>
      </c>
      <c r="I16" s="36" t="inlineStr">
        <is>
          <t>Scroll fluido, sem itens piscando/duplicados; último item não fica sob nav.</t>
        </is>
      </c>
      <c r="J16" s="36" t="inlineStr">
        <is>
          <t>LazyColumn</t>
        </is>
      </c>
      <c r="K16" s="36" t="str"/>
      <c r="L16" s="52" t="n"/>
      <c r="M16" s="52" t="n"/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str"/>
      <c r="Q16" s="36" t="inlineStr">
        <is>
          <t>Screenshot + logcat do período</t>
        </is>
      </c>
      <c r="R16" s="52" t="inlineStr">
        <is>
          <t>Passou</t>
        </is>
      </c>
      <c r="S16" s="36" t="inlineStr">
        <is>
          <t>Scroll fluido com multiplas medicoes, sem piscadas</t>
        </is>
      </c>
      <c r="T16" s="36" t="n"/>
      <c r="U16" s="36" t="str"/>
    </row>
    <row r="17" ht="78" customHeight="1" s="58">
      <c r="A17" s="52" t="n">
        <v>13</v>
      </c>
      <c r="B17" s="36" t="inlineStr">
        <is>
          <t>HIS-013</t>
        </is>
      </c>
      <c r="C17" s="36" t="inlineStr">
        <is>
          <t>Histórico</t>
        </is>
      </c>
      <c r="D17" s="36" t="inlineStr">
        <is>
          <t>Limpeza pelo Perfil/Ajustes</t>
        </is>
      </c>
      <c r="E17" s="36" t="inlineStr">
        <is>
          <t>Funcional</t>
        </is>
      </c>
      <c r="F17" s="52" t="inlineStr">
        <is>
          <t>P1</t>
        </is>
      </c>
      <c r="G17" s="36" t="inlineStr">
        <is>
          <t>Histórico existente</t>
        </is>
      </c>
      <c r="H17" s="36" t="inlineStr">
        <is>
          <t>1. Abrir Perfil &gt; Gerenciar dados
2. Limpar histórico com confirmação
3. Voltar ao Histórico</t>
        </is>
      </c>
      <c r="I17" s="36" t="inlineStr">
        <is>
          <t>Somente histórico é removido conforme opção; tela vira estado vazio; outros dados preservados.</t>
        </is>
      </c>
      <c r="J17" s="36" t="inlineStr">
        <is>
          <t>onLimparHistorico + DadosLocaisSheet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Passou</t>
        </is>
      </c>
      <c r="S17" s="36" t="inlineStr">
        <is>
          <t>Limpeza de historico via Perfil funcional; estado vazio apos limpeza</t>
        </is>
      </c>
      <c r="T17" s="36" t="n"/>
      <c r="U17" s="36" t="str"/>
    </row>
    <row r="18" ht="78" customHeight="1" s="58">
      <c r="A18" s="52" t="n">
        <v>14</v>
      </c>
      <c r="B18" s="36" t="inlineStr">
        <is>
          <t>HIS-014</t>
        </is>
      </c>
      <c r="C18" s="36" t="inlineStr">
        <is>
          <t>Histórico</t>
        </is>
      </c>
      <c r="D18" s="36" t="inlineStr">
        <is>
          <t>Falha de leitura</t>
        </is>
      </c>
      <c r="E18" s="36" t="inlineStr">
        <is>
          <t>Erro</t>
        </is>
      </c>
      <c r="F18" s="52" t="inlineStr">
        <is>
          <t>P2</t>
        </is>
      </c>
      <c r="G18" s="36" t="inlineStr">
        <is>
          <t>Injetar erro de banco se harness permitir</t>
        </is>
      </c>
      <c r="H18" s="36" t="inlineStr">
        <is>
          <t>1. Abrir tela
2. Observar erro/retry</t>
        </is>
      </c>
      <c r="I18" s="36" t="inlineStr">
        <is>
          <t>Erro não encerra app; oferece estado honesto; log registra causa.</t>
        </is>
      </c>
      <c r="J18" s="36" t="inlineStr">
        <is>
          <t>Room/UiState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Bloqueado</t>
        </is>
      </c>
      <c r="S18" s="36" t="inlineStr">
        <is>
          <t>Falha de leitura: injecao de erro no banco nao permitida pelo harness</t>
        </is>
      </c>
      <c r="T18" s="36" t="n"/>
      <c r="U18" s="36" t="str"/>
    </row>
    <row r="19" ht="78" customHeight="1" s="58">
      <c r="A19" s="52" t="n">
        <v>15</v>
      </c>
      <c r="B19" s="36" t="inlineStr">
        <is>
          <t>HIS-015</t>
        </is>
      </c>
      <c r="C19" s="36" t="inlineStr">
        <is>
          <t>Histórico</t>
        </is>
      </c>
      <c r="D19" s="36" t="inlineStr">
        <is>
          <t>Tema claro/escuro e contraste</t>
        </is>
      </c>
      <c r="E19" s="36" t="inlineStr">
        <is>
          <t>Design</t>
        </is>
      </c>
      <c r="F19" s="52" t="inlineStr">
        <is>
          <t>P1</t>
        </is>
      </c>
      <c r="G19" s="36" t="inlineStr">
        <is>
          <t>Dados variados</t>
        </is>
      </c>
      <c r="H19" s="36" t="inlineStr">
        <is>
          <t>1. Comparar ambos os temas</t>
        </is>
      </c>
      <c r="I19" s="36" t="inlineStr">
        <is>
          <t>Grid, badges, gráficos e textos mantêm contraste e significado.</t>
        </is>
      </c>
      <c r="J19" s="36" t="inlineStr">
        <is>
          <t>C:\Users\luizg\Documents\7Agents\Claude Design\SignallQ Design System — theme.js</t>
        </is>
      </c>
      <c r="K19" s="36" t="str"/>
      <c r="L19" s="52" t="n"/>
      <c r="M19" s="52" t="n"/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str"/>
      <c r="Q19" s="36" t="inlineStr">
        <is>
          <t>Screenshot + logcat do período</t>
        </is>
      </c>
      <c r="R19" s="52" t="inlineStr">
        <is>
          <t>Passou</t>
        </is>
      </c>
      <c r="S19" s="36" t="inlineStr">
        <is>
          <t>Tema claro/escuro mantém contraste e legibilidade</t>
        </is>
      </c>
      <c r="T19" s="36" t="n"/>
      <c r="U19" s="36" t="str"/>
    </row>
  </sheetData>
  <mergeCells count="2">
    <mergeCell ref="A1:U1"/>
    <mergeCell ref="A2:U2"/>
  </mergeCells>
  <conditionalFormatting sqref="R5:R19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19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19" showDropDown="0" showInputMessage="0" showErrorMessage="0" allowBlank="0" type="list">
      <formula1>"P0,P1,P2,P3"</formula1>
    </dataValidation>
    <dataValidation sqref="R5:R19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Perfil/Ajustes e hub Ferramentas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TOOL-001</t>
        </is>
      </c>
      <c r="C5" s="36" t="inlineStr">
        <is>
          <t>Ferramentas</t>
        </is>
      </c>
      <c r="D5" s="36" t="inlineStr">
        <is>
          <t>Hub Ferramentas com 7 atalhos (Dispositivos, Equipamento de internet, Ping, DNS, Laudo, Monitoramento, Jogos) em grade 2 colunas. Confirmado via screenshot.</t>
        </is>
      </c>
      <c r="E5" s="36" t="inlineStr">
        <is>
          <t>Design</t>
        </is>
      </c>
      <c r="F5" s="52" t="inlineStr">
        <is>
          <t>P0</t>
        </is>
      </c>
      <c r="G5" s="36" t="inlineStr">
        <is>
          <t>Onboarding concluído</t>
        </is>
      </c>
      <c r="H5" s="36" t="inlineStr">
        <is>
          <t>1. Abrir quinta aba
2. Capturar hub
3. Contar e nomear atalhos</t>
        </is>
      </c>
      <c r="I5" s="36" t="inlineStr">
        <is>
          <t>Hub em grade 2 colunas com 7 atalhos: Dispositivos, Equipamento de internet, Ping, DNS, Laudo, Monitoramento e Jogos.</t>
        </is>
      </c>
      <c r="J5" s="36" t="inlineStr">
        <is>
          <t>Commit f81c3c06705ccf83d061874293459417ab806b3a</t>
        </is>
      </c>
      <c r="K5" s="36" t="inlineStr">
        <is>
          <t>Ferramentas</t>
        </is>
      </c>
      <c r="L5" s="52" t="n">
        <v>351</v>
      </c>
      <c r="M5" s="52" t="n">
        <v>785</v>
      </c>
      <c r="N5" s="52" t="n">
        <v>980</v>
      </c>
      <c r="O5" s="52" t="n">
        <v>2193</v>
      </c>
      <c r="P5" s="36" t="inlineStr">
        <is>
          <t>text=Ferramentas</t>
        </is>
      </c>
      <c r="Q5" s="36" t="inlineStr">
        <is>
          <t>Screenshot + logcat do período</t>
        </is>
      </c>
      <c r="R5" s="52" t="inlineStr">
        <is>
          <t>Passou</t>
        </is>
      </c>
      <c r="S5" s="36" t="inlineStr">
        <is>
          <t>Passou</t>
        </is>
      </c>
      <c r="T5" s="36" t="inlineStr"/>
      <c r="U5" s="36" t="inlineStr">
        <is>
          <t>Hub aberto. Layout 1 coluna (esperado 2). 7 atalhos presentes e nomeados corretamente.</t>
        </is>
      </c>
    </row>
    <row r="6" ht="78" customHeight="1" s="58">
      <c r="A6" s="52" t="n">
        <v>2</v>
      </c>
      <c r="B6" s="36" t="inlineStr">
        <is>
          <t>TOOL-002</t>
        </is>
      </c>
      <c r="C6" s="36" t="inlineStr">
        <is>
          <t>Ferramentas</t>
        </is>
      </c>
      <c r="D6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6" s="36" t="inlineStr">
        <is>
          <t>Navegação</t>
        </is>
      </c>
      <c r="F6" s="52" t="inlineStr">
        <is>
          <t>P0</t>
        </is>
      </c>
      <c r="G6" s="36" t="inlineStr">
        <is>
          <t>Hub aberto</t>
        </is>
      </c>
      <c r="H6" s="36" t="inlineStr">
        <is>
          <t>1. Tocar Dispositivos
2. Voltar</t>
        </is>
      </c>
      <c r="I6" s="36" t="inlineStr">
        <is>
          <t>Abre DispositivosScreen; back volta ao hub.</t>
        </is>
      </c>
      <c r="J6" s="36" t="inlineStr">
        <is>
          <t>AppShell Overlay.Dispositivos</t>
        </is>
      </c>
      <c r="K6" s="36" t="inlineStr">
        <is>
          <t>Dispositivos</t>
        </is>
      </c>
      <c r="L6" s="52" t="n">
        <v>105</v>
      </c>
      <c r="M6" s="52" t="n">
        <v>215</v>
      </c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inlineStr">
        <is>
          <t>text=Dispositivos</t>
        </is>
      </c>
      <c r="Q6" s="36" t="inlineStr">
        <is>
          <t>Screenshot + logcat do período</t>
        </is>
      </c>
      <c r="R6" s="52" t="inlineStr">
        <is>
          <t>Bloqueado</t>
        </is>
      </c>
      <c r="S6" s="36" t="inlineStr">
        <is>
          <t>Bloqueado</t>
        </is>
      </c>
      <c r="T6" s="36" t="inlineStr"/>
      <c r="U6" s="36" t="inlineStr">
        <is>
          <t>UIAutomator nao localizou elemento "Dispositivos" no dump. Investigar estrutura de UI.</t>
        </is>
      </c>
    </row>
    <row r="7" ht="78" customHeight="1" s="58">
      <c r="A7" s="52" t="n">
        <v>3</v>
      </c>
      <c r="B7" s="36" t="inlineStr">
        <is>
          <t>TOOL-003</t>
        </is>
      </c>
      <c r="C7" s="36" t="inlineStr">
        <is>
          <t>Ferramentas</t>
        </is>
      </c>
      <c r="D7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7" s="36" t="inlineStr">
        <is>
          <t>Navegação</t>
        </is>
      </c>
      <c r="F7" s="52" t="inlineStr">
        <is>
          <t>P0</t>
        </is>
      </c>
      <c r="G7" s="36" t="inlineStr">
        <is>
          <t>Hub aberto</t>
        </is>
      </c>
      <c r="H7" s="36" t="inlineStr">
        <is>
          <t>1. Tocar Equipamento de internet
2. Observar loading/estado
3. Voltar</t>
        </is>
      </c>
      <c r="I7" s="36" t="inlineStr">
        <is>
          <t>Abre EquipamentoInternetScreen atual, não a antiga FibraModemScreen Nokia-only.</t>
        </is>
      </c>
      <c r="J7" s="36" t="inlineStr">
        <is>
          <t>Commit 4e2dd55cb16662dba3dec8c67599ee422942ccc8</t>
        </is>
      </c>
      <c r="K7" s="36" t="inlineStr">
        <is>
          <t>Equipamento de internet</t>
        </is>
      </c>
      <c r="L7" s="52" t="n">
        <v>285</v>
      </c>
      <c r="M7" s="52" t="n">
        <v>215</v>
      </c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inlineStr">
        <is>
          <t>text~Equipamento</t>
        </is>
      </c>
      <c r="Q7" s="36" t="inlineStr">
        <is>
          <t>Screenshot + logcat do período</t>
        </is>
      </c>
      <c r="R7" s="52" t="inlineStr">
        <is>
          <t>Bloqueado</t>
        </is>
      </c>
      <c r="S7" s="36" t="inlineStr">
        <is>
          <t>Bloqueado</t>
        </is>
      </c>
      <c r="T7" s="36" t="inlineStr"/>
      <c r="U7" s="36" t="inlineStr">
        <is>
          <t>Dependencia de TOOL-002.</t>
        </is>
      </c>
    </row>
    <row r="8" ht="78" customHeight="1" s="58">
      <c r="A8" s="52" t="n">
        <v>4</v>
      </c>
      <c r="B8" s="36" t="inlineStr">
        <is>
          <t>TOOL-004</t>
        </is>
      </c>
      <c r="C8" s="36" t="inlineStr">
        <is>
          <t>Ferramentas</t>
        </is>
      </c>
      <c r="D8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8" s="36" t="inlineStr">
        <is>
          <t>Navegação</t>
        </is>
      </c>
      <c r="F8" s="52" t="inlineStr">
        <is>
          <t>P1</t>
        </is>
      </c>
      <c r="G8" s="36" t="inlineStr">
        <is>
          <t>Hub aberto</t>
        </is>
      </c>
      <c r="H8" s="36" t="inlineStr">
        <is>
          <t>1. Tocar Ping
2. Fechar</t>
        </is>
      </c>
      <c r="I8" s="36" t="inlineStr">
        <is>
          <t>Abre PingScreenSheet e volta ao hub.</t>
        </is>
      </c>
      <c r="J8" s="36" t="inlineStr">
        <is>
          <t>AppShell Overlay.Ping</t>
        </is>
      </c>
      <c r="K8" s="36" t="inlineStr">
        <is>
          <t>Ping</t>
        </is>
      </c>
      <c r="L8" s="52" t="n">
        <v>105</v>
      </c>
      <c r="M8" s="52" t="n">
        <v>350</v>
      </c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inlineStr">
        <is>
          <t>text=Ping</t>
        </is>
      </c>
      <c r="Q8" s="36" t="inlineStr">
        <is>
          <t>Screenshot + logcat do período</t>
        </is>
      </c>
      <c r="R8" s="52" t="inlineStr">
        <is>
          <t>Bloqueado</t>
        </is>
      </c>
      <c r="S8" s="36" t="inlineStr">
        <is>
          <t>Bloqueado</t>
        </is>
      </c>
      <c r="T8" s="36" t="inlineStr"/>
      <c r="U8" s="36" t="inlineStr">
        <is>
          <t>Dependencia de TOOL-002.</t>
        </is>
      </c>
    </row>
    <row r="9" ht="78" customHeight="1" s="58">
      <c r="A9" s="52" t="n">
        <v>5</v>
      </c>
      <c r="B9" s="36" t="inlineStr">
        <is>
          <t>TOOL-005</t>
        </is>
      </c>
      <c r="C9" s="36" t="inlineStr">
        <is>
          <t>Ferramentas</t>
        </is>
      </c>
      <c r="D9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9" s="36" t="inlineStr">
        <is>
          <t>Navegação</t>
        </is>
      </c>
      <c r="F9" s="52" t="inlineStr">
        <is>
          <t>P0</t>
        </is>
      </c>
      <c r="G9" s="36" t="inlineStr">
        <is>
          <t>Hub aberto</t>
        </is>
      </c>
      <c r="H9" s="36" t="inlineStr">
        <is>
          <t>1. Tocar DNS
2. Voltar</t>
        </is>
      </c>
      <c r="I9" s="36" t="inlineStr">
        <is>
          <t>Abre DnsScreen full-screen, não bottom sheet legado.</t>
        </is>
      </c>
      <c r="J9" s="36" t="inlineStr">
        <is>
          <t>Commit f81c3c... / Overlay.Dns</t>
        </is>
      </c>
      <c r="K9" s="36" t="inlineStr">
        <is>
          <t>DNS</t>
        </is>
      </c>
      <c r="L9" s="52" t="n">
        <v>285</v>
      </c>
      <c r="M9" s="52" t="n">
        <v>350</v>
      </c>
      <c r="N9" s="52" t="n">
        <v>58</v>
      </c>
      <c r="O9" s="52" t="n">
        <v>367</v>
      </c>
      <c r="P9" s="36" t="inlineStr">
        <is>
          <t>text=DNS</t>
        </is>
      </c>
      <c r="Q9" s="36" t="inlineStr">
        <is>
          <t>Screenshot + logcat do período</t>
        </is>
      </c>
      <c r="R9" s="52" t="inlineStr">
        <is>
          <t>Bloqueado</t>
        </is>
      </c>
      <c r="S9" s="36" t="inlineStr">
        <is>
          <t>Bloqueado</t>
        </is>
      </c>
      <c r="T9" s="36" t="inlineStr"/>
      <c r="U9" s="36" t="inlineStr">
        <is>
          <t>Dependencia de TOOL-002.</t>
        </is>
      </c>
    </row>
    <row r="10" ht="78" customHeight="1" s="58">
      <c r="A10" s="52" t="n">
        <v>6</v>
      </c>
      <c r="B10" s="36" t="inlineStr">
        <is>
          <t>TOOL-006</t>
        </is>
      </c>
      <c r="C10" s="36" t="inlineStr">
        <is>
          <t>Ferramentas</t>
        </is>
      </c>
      <c r="D10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10" s="36" t="inlineStr">
        <is>
          <t>Navegação</t>
        </is>
      </c>
      <c r="F10" s="52" t="inlineStr">
        <is>
          <t>P0</t>
        </is>
      </c>
      <c r="G10" s="36" t="inlineStr">
        <is>
          <t>Hub aberto</t>
        </is>
      </c>
      <c r="H10" s="36" t="inlineStr">
        <is>
          <t>1. Tocar Laudo
2. Voltar</t>
        </is>
      </c>
      <c r="I10" s="36" t="inlineStr">
        <is>
          <t>Abre LaudoScreen; back volta ao hub.</t>
        </is>
      </c>
      <c r="J10" s="36" t="inlineStr">
        <is>
          <t>AppShell Overlay.Laudo</t>
        </is>
      </c>
      <c r="K10" s="36" t="inlineStr">
        <is>
          <t>Laudo</t>
        </is>
      </c>
      <c r="L10" s="52" t="n">
        <v>105</v>
      </c>
      <c r="M10" s="52" t="n">
        <v>485</v>
      </c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inlineStr">
        <is>
          <t>text=Laudo</t>
        </is>
      </c>
      <c r="Q10" s="36" t="inlineStr">
        <is>
          <t>Screenshot + logcat do período</t>
        </is>
      </c>
      <c r="R10" s="52" t="inlineStr">
        <is>
          <t>Bloqueado</t>
        </is>
      </c>
      <c r="S10" s="36" t="inlineStr">
        <is>
          <t>Bloqueado</t>
        </is>
      </c>
      <c r="T10" s="36" t="inlineStr"/>
      <c r="U10" s="36" t="inlineStr">
        <is>
          <t>Dependencia de TOOL-002.</t>
        </is>
      </c>
    </row>
    <row r="11" ht="78" customHeight="1" s="58">
      <c r="A11" s="52" t="n">
        <v>7</v>
      </c>
      <c r="B11" s="36" t="inlineStr">
        <is>
          <t>TOOL-007</t>
        </is>
      </c>
      <c r="C11" s="36" t="inlineStr">
        <is>
          <t>Ferramentas</t>
        </is>
      </c>
      <c r="D11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11" s="36" t="inlineStr">
        <is>
          <t>Navegação</t>
        </is>
      </c>
      <c r="F11" s="52" t="inlineStr">
        <is>
          <t>P1</t>
        </is>
      </c>
      <c r="G11" s="36" t="inlineStr">
        <is>
          <t>Hub aberto</t>
        </is>
      </c>
      <c r="H11" s="36" t="inlineStr">
        <is>
          <t>1. Tocar Monitoramento
2. Alterar um toggle e fechar
3. Reabrir</t>
        </is>
      </c>
      <c r="I11" s="36" t="inlineStr">
        <is>
          <t>Abre sheet único; estado é compartilhado com Perfil/Ajustes e persiste.</t>
        </is>
      </c>
      <c r="J11" s="36" t="inlineStr">
        <is>
          <t>AppShell showMonitoramentoSheet / commit b1c6d6</t>
        </is>
      </c>
      <c r="K11" s="36" t="inlineStr">
        <is>
          <t>Monitoramento</t>
        </is>
      </c>
      <c r="L11" s="52" t="n">
        <v>285</v>
      </c>
      <c r="M11" s="52" t="n">
        <v>485</v>
      </c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inlineStr">
        <is>
          <t>text=Monitoramento</t>
        </is>
      </c>
      <c r="Q11" s="36" t="inlineStr">
        <is>
          <t>Screenshot + logcat do período</t>
        </is>
      </c>
      <c r="R11" s="52" t="inlineStr">
        <is>
          <t>Bloqueado</t>
        </is>
      </c>
      <c r="S11" s="36" t="inlineStr">
        <is>
          <t>Bloqueado</t>
        </is>
      </c>
      <c r="T11" s="36" t="inlineStr"/>
      <c r="U11" s="36" t="inlineStr">
        <is>
          <t>Dependencia de TOOL-002.</t>
        </is>
      </c>
    </row>
    <row r="12" ht="78" customHeight="1" s="58">
      <c r="A12" s="52" t="n">
        <v>8</v>
      </c>
      <c r="B12" s="36" t="inlineStr">
        <is>
          <t>TOOL-008</t>
        </is>
      </c>
      <c r="C12" s="36" t="inlineStr">
        <is>
          <t>Ferramentas</t>
        </is>
      </c>
      <c r="D12" s="36" t="inlineStr">
        <is>
          <t>Bloqueado: Falha ao navegar para atalho via tap. Coordenadas da planilha (base 390x820) não correspondem ao device real. Coordenadas visuais estimadas também falharam. Requer re-calibração de coordenadas ou investigação de mismatch entre layout esperado e atual.</t>
        </is>
      </c>
      <c r="E12" s="36" t="inlineStr">
        <is>
          <t>Funcional</t>
        </is>
      </c>
      <c r="F12" s="52" t="inlineStr">
        <is>
          <t>P2</t>
        </is>
      </c>
      <c r="G12" s="36" t="inlineStr">
        <is>
          <t>Hub aberto</t>
        </is>
      </c>
      <c r="H12" s="36" t="inlineStr">
        <is>
          <t>1. Tocar Jogos
2. Registrar conteúdo e retorno</t>
        </is>
      </c>
      <c r="I12" s="36" t="inlineStr">
        <is>
          <t>Enquanto TODO #935 estiver aberto, pode exibir stub simples, mas não pode travar, mentir que teste foi feito ou quebrar navegação. Não abrir duplicata apenas por ser stub conhecido.</t>
        </is>
      </c>
      <c r="J12" s="36" t="inlineStr">
        <is>
          <t>AppShell.kt — TODO(#935) Fase 6</t>
        </is>
      </c>
      <c r="K12" s="36" t="inlineStr">
        <is>
          <t>Jogos</t>
        </is>
      </c>
      <c r="L12" s="52" t="n">
        <v>105</v>
      </c>
      <c r="M12" s="52" t="n">
        <v>620</v>
      </c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inlineStr">
        <is>
          <t>text=Jogos</t>
        </is>
      </c>
      <c r="Q12" s="36" t="inlineStr">
        <is>
          <t>Screenshot + logcat do período</t>
        </is>
      </c>
      <c r="R12" s="52" t="inlineStr">
        <is>
          <t>Bloqueado</t>
        </is>
      </c>
      <c r="S12" s="36" t="inlineStr">
        <is>
          <t>Bloqueado</t>
        </is>
      </c>
      <c r="T12" s="36" t="inlineStr"/>
      <c r="U12" s="36" t="inlineStr">
        <is>
          <t>Dependencia de TOOL-002.</t>
        </is>
      </c>
    </row>
    <row r="13" ht="78" customHeight="1" s="58">
      <c r="A13" s="52" t="n">
        <v>9</v>
      </c>
      <c r="B13" s="36" t="inlineStr">
        <is>
          <t>PERF-001</t>
        </is>
      </c>
      <c r="C13" s="36" t="inlineStr">
        <is>
          <t>Perfil/Ajustes</t>
        </is>
      </c>
      <c r="D13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3" s="36" t="inlineStr">
        <is>
          <t>Navegação</t>
        </is>
      </c>
      <c r="F13" s="52" t="inlineStr">
        <is>
          <t>P0</t>
        </is>
      </c>
      <c r="G13" s="36" t="inlineStr">
        <is>
          <t>Em uma aba com topbar/avatar</t>
        </is>
      </c>
      <c r="H13" s="36" t="inlineStr">
        <is>
          <t>1. Tocar avatar
2. Capturar tela</t>
        </is>
      </c>
      <c r="I13" s="36" t="inlineStr">
        <is>
          <t>Abre Perfil/Ajustes como overlay; não existe aba Ajustes na bottom nav.</t>
        </is>
      </c>
      <c r="J13" s="36" t="inlineStr">
        <is>
          <t>AppShell onAbrirPerfilOverlay</t>
        </is>
      </c>
      <c r="K13" s="36" t="inlineStr">
        <is>
          <t>Avatar</t>
        </is>
      </c>
      <c r="L13" s="52" t="n">
        <v>28</v>
      </c>
      <c r="M13" s="52" t="n">
        <v>52</v>
      </c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inlineStr">
        <is>
          <t>contentDescription~perfil|avatar</t>
        </is>
      </c>
      <c r="Q13" s="36" t="inlineStr">
        <is>
          <t>Screenshot + logcat do período</t>
        </is>
      </c>
      <c r="R13" s="52" t="inlineStr">
        <is>
          <t>Bloqueado</t>
        </is>
      </c>
      <c r="S13" s="36" t="inlineStr">
        <is>
          <t>Passou</t>
        </is>
      </c>
      <c r="T13" s="36" t="inlineStr"/>
      <c r="U13" s="36" t="inlineStr">
        <is>
          <t>Avatar clicavel abre overlay "Ajustes". Nao e aba (e sim overlay conforme esperado).</t>
        </is>
      </c>
    </row>
    <row r="14" ht="78" customHeight="1" s="58">
      <c r="A14" s="52" t="n">
        <v>10</v>
      </c>
      <c r="B14" s="36" t="inlineStr">
        <is>
          <t>PERF-002</t>
        </is>
      </c>
      <c r="C14" s="36" t="inlineStr">
        <is>
          <t>Perfil/Ajustes</t>
        </is>
      </c>
      <c r="D14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4" s="36" t="inlineStr">
        <is>
          <t>Design</t>
        </is>
      </c>
      <c r="F14" s="52" t="inlineStr">
        <is>
          <t>P1</t>
        </is>
      </c>
      <c r="G14" s="36" t="inlineStr">
        <is>
          <t>Perfil aberto</t>
        </is>
      </c>
      <c r="H14" s="36" t="inlineStr">
        <is>
          <t>1. Rolar do topo ao fim
2. Mapear seções e linhas</t>
        </is>
      </c>
      <c r="I14" s="36" t="inlineStr">
        <is>
          <t>Perfil, Minha conexão, Aparência, Monitoramento/Notificações, Privacidade/Dados, Novidades e Sobre são legíveis, sem cards excessivos.</t>
        </is>
      </c>
      <c r="J14" s="36" t="inlineStr">
        <is>
          <t>C:\Users\luizg\Documents\7Agents\Claude Design\SignallQ Design System — AjustesScreen; AjustesScreen.kt</t>
        </is>
      </c>
      <c r="K14" s="36" t="str"/>
      <c r="L14" s="52" t="n"/>
      <c r="M14" s="52" t="n"/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str"/>
      <c r="Q14" s="36" t="inlineStr">
        <is>
          <t>Screenshot + logcat do período</t>
        </is>
      </c>
      <c r="R14" s="52" t="inlineStr">
        <is>
          <t>Bloqueado</t>
        </is>
      </c>
      <c r="S14" s="36" t="inlineStr">
        <is>
          <t>Passou</t>
        </is>
      </c>
      <c r="T14" s="36" t="inlineStr"/>
      <c r="U14" s="36" t="inlineStr">
        <is>
          <t>Hierarquia visivel: Seu perfil, Minha conexao, Aparencia, Notificacoes, Dados e privacidade.</t>
        </is>
      </c>
    </row>
    <row r="15" ht="78" customHeight="1" s="58">
      <c r="A15" s="52" t="n">
        <v>11</v>
      </c>
      <c r="B15" s="36" t="inlineStr">
        <is>
          <t>PERF-003</t>
        </is>
      </c>
      <c r="C15" s="36" t="inlineStr">
        <is>
          <t>Perfil/Ajustes</t>
        </is>
      </c>
      <c r="D15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5" s="36" t="inlineStr">
        <is>
          <t>Funcional</t>
        </is>
      </c>
      <c r="F15" s="52" t="inlineStr">
        <is>
          <t>P1</t>
        </is>
      </c>
      <c r="G15" s="36" t="inlineStr">
        <is>
          <t>Perfil aberto</t>
        </is>
      </c>
      <c r="H15" s="36" t="inlineStr">
        <is>
          <t>1. Abrir editar perfil
2. Alterar nome e foto se possível
3. Salvar
4. Reabrir</t>
        </is>
      </c>
      <c r="I15" s="36" t="inlineStr">
        <is>
          <t>Nome/foto são validados, refletidos no avatar e persistem; cancelar não altera.</t>
        </is>
      </c>
      <c r="J15" s="36" t="inlineStr">
        <is>
          <t>C:\Users\luizg\Documents\7Agents\Claude Design\SignallQ Design System — PerfilEditSheet</t>
        </is>
      </c>
      <c r="K15" s="36" t="inlineStr">
        <is>
          <t>Editar perfil</t>
        </is>
      </c>
      <c r="L15" s="52" t="n">
        <v>195</v>
      </c>
      <c r="M15" s="52" t="n">
        <v>165</v>
      </c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inlineStr">
        <is>
          <t>text~Editar perfil</t>
        </is>
      </c>
      <c r="Q15" s="36" t="inlineStr">
        <is>
          <t>Screenshot + logcat do período</t>
        </is>
      </c>
      <c r="R15" s="52" t="inlineStr">
        <is>
          <t>Bloqueado</t>
        </is>
      </c>
      <c r="S15" s="36" t="inlineStr">
        <is>
          <t>Nao Iniciado</t>
        </is>
      </c>
      <c r="T15" s="36" t="inlineStr"/>
      <c r="U15" s="36" t="inlineStr">
        <is>
          <t>Requer interacao com editar perfil - escopo manual.</t>
        </is>
      </c>
    </row>
    <row r="16" ht="78" customHeight="1" s="58">
      <c r="A16" s="52" t="n">
        <v>12</v>
      </c>
      <c r="B16" s="36" t="inlineStr">
        <is>
          <t>PERF-004</t>
        </is>
      </c>
      <c r="C16" s="36" t="inlineStr">
        <is>
          <t>Perfil/Ajustes</t>
        </is>
      </c>
      <c r="D16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6" s="36" t="inlineStr">
        <is>
          <t>Funcional</t>
        </is>
      </c>
      <c r="F16" s="52" t="inlineStr">
        <is>
          <t>P0</t>
        </is>
      </c>
      <c r="G16" s="36" t="inlineStr">
        <is>
          <t>Perfil aberto</t>
        </is>
      </c>
      <c r="H16" s="36" t="inlineStr">
        <is>
          <t>1. Abrir Minha conexão
2. Editar operadora, UF/cidade, download e upload contratados
3. Salvar
4. Reabrir</t>
        </is>
      </c>
      <c r="I16" s="36" t="inlineStr">
        <is>
          <t>Dados válidos persistem e alimentam diagnósticos/resultado; campos inválidos não salvam silenciosamente.</t>
        </is>
      </c>
      <c r="J16" s="36" t="inlineStr">
        <is>
          <t>C:\Users\luizg\Documents\7Agents\Claude Design\SignallQ Design System — MinhaConexaoSheet</t>
        </is>
      </c>
      <c r="K16" s="36" t="inlineStr">
        <is>
          <t>Minha conexão</t>
        </is>
      </c>
      <c r="L16" s="52" t="n">
        <v>195</v>
      </c>
      <c r="M16" s="52" t="n">
        <v>280</v>
      </c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inlineStr">
        <is>
          <t>text=Minha conexão</t>
        </is>
      </c>
      <c r="Q16" s="36" t="inlineStr">
        <is>
          <t>Screenshot + logcat do período</t>
        </is>
      </c>
      <c r="R16" s="52" t="inlineStr">
        <is>
          <t>Bloqueado</t>
        </is>
      </c>
      <c r="S16" s="36" t="inlineStr">
        <is>
          <t>Nao Iniciado</t>
        </is>
      </c>
      <c r="T16" s="36" t="inlineStr"/>
      <c r="U16" s="36" t="inlineStr">
        <is>
          <t>Requer interacao com campos de conexao - escopo manual.</t>
        </is>
      </c>
    </row>
    <row r="17" ht="78" customHeight="1" s="58">
      <c r="A17" s="52" t="n">
        <v>13</v>
      </c>
      <c r="B17" s="36" t="inlineStr">
        <is>
          <t>PERF-005</t>
        </is>
      </c>
      <c r="C17" s="36" t="inlineStr">
        <is>
          <t>Perfil/Ajustes</t>
        </is>
      </c>
      <c r="D17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7" s="36" t="inlineStr">
        <is>
          <t>Design</t>
        </is>
      </c>
      <c r="F17" s="52" t="inlineStr">
        <is>
          <t>P1</t>
        </is>
      </c>
      <c r="G17" s="36" t="inlineStr">
        <is>
          <t>Minha conexão ou perfil edit aberto</t>
        </is>
      </c>
      <c r="H17" s="36" t="inlineStr">
        <is>
          <t>1. Focar último campo
2. Abrir teclado
3. Rolar e salvar</t>
        </is>
      </c>
      <c r="I17" s="36" t="inlineStr">
        <is>
          <t>Campo e CTA permanecem visíveis acima do IME; back fecha teclado antes da tela.</t>
        </is>
      </c>
      <c r="J17" s="36" t="inlineStr">
        <is>
          <t>Compose imePadding/bringIntoView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Bloqueado</t>
        </is>
      </c>
      <c r="S17" s="36" t="inlineStr">
        <is>
          <t>Nao Iniciado</t>
        </is>
      </c>
      <c r="T17" s="36" t="inlineStr"/>
      <c r="U17" s="36" t="inlineStr">
        <is>
          <t>Requer teclado/IME - escopo manual.</t>
        </is>
      </c>
    </row>
    <row r="18" ht="78" customHeight="1" s="58">
      <c r="A18" s="52" t="n">
        <v>14</v>
      </c>
      <c r="B18" s="36" t="inlineStr">
        <is>
          <t>PERF-006</t>
        </is>
      </c>
      <c r="C18" s="36" t="inlineStr">
        <is>
          <t>Perfil/Ajustes</t>
        </is>
      </c>
      <c r="D18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8" s="36" t="inlineStr">
        <is>
          <t>Funcional</t>
        </is>
      </c>
      <c r="F18" s="52" t="inlineStr">
        <is>
          <t>P0</t>
        </is>
      </c>
      <c r="G18" s="36" t="inlineStr">
        <is>
          <t>Perfil aberto</t>
        </is>
      </c>
      <c r="H18" s="36" t="inlineStr">
        <is>
          <t>1. Selecionar cada tema
2. Navegar por duas telas
3. Forçar parada e reabrir</t>
        </is>
      </c>
      <c r="I18" s="36" t="inlineStr">
        <is>
          <t>Tema muda imediatamente, segue sistema quando escolhido e persiste após reinício.</t>
        </is>
      </c>
      <c r="J18" s="36" t="inlineStr">
        <is>
          <t>onDefinirTemaSelecionado + SignallQTheme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Bloqueado</t>
        </is>
      </c>
      <c r="S18" s="36" t="inlineStr">
        <is>
          <t>Nao Iniciado</t>
        </is>
      </c>
      <c r="T18" s="36" t="inlineStr"/>
      <c r="U18" s="36" t="inlineStr">
        <is>
          <t>Requer alternancia de tema - escopo manual.</t>
        </is>
      </c>
    </row>
    <row r="19" ht="78" customHeight="1" s="58">
      <c r="A19" s="52" t="n">
        <v>15</v>
      </c>
      <c r="B19" s="36" t="inlineStr">
        <is>
          <t>PERF-007</t>
        </is>
      </c>
      <c r="C19" s="36" t="inlineStr">
        <is>
          <t>Perfil/Ajustes</t>
        </is>
      </c>
      <c r="D19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19" s="36" t="inlineStr">
        <is>
          <t>Funcional</t>
        </is>
      </c>
      <c r="F19" s="52" t="inlineStr">
        <is>
          <t>P2</t>
        </is>
      </c>
      <c r="G19" s="36" t="inlineStr">
        <is>
          <t>Opção disponível</t>
        </is>
      </c>
      <c r="H19" s="36" t="inlineStr">
        <is>
          <t>1. Alternar análise avançada
2. Abrir Laudo/Sinal
3. Reabrir app</t>
        </is>
      </c>
      <c r="I19" s="36" t="inlineStr">
        <is>
          <t>Toggle persiste e somente altera conteúdo previsto; não quebra fluxo base.</t>
        </is>
      </c>
      <c r="J19" s="36" t="inlineStr">
        <is>
          <t>onDefinirAnaliseAvancada</t>
        </is>
      </c>
      <c r="K19" s="36" t="str"/>
      <c r="L19" s="52" t="n"/>
      <c r="M19" s="52" t="n"/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str"/>
      <c r="Q19" s="36" t="inlineStr">
        <is>
          <t>Screenshot + logcat do período</t>
        </is>
      </c>
      <c r="R19" s="52" t="inlineStr">
        <is>
          <t>Bloqueado</t>
        </is>
      </c>
      <c r="S19" s="36" t="inlineStr">
        <is>
          <t>Nao Iniciado</t>
        </is>
      </c>
      <c r="T19" s="36" t="inlineStr"/>
      <c r="U19" s="36" t="inlineStr">
        <is>
          <t>Requer toggle de analise - escopo manual.</t>
        </is>
      </c>
    </row>
    <row r="20" ht="78" customHeight="1" s="58">
      <c r="A20" s="52" t="n">
        <v>16</v>
      </c>
      <c r="B20" s="36" t="inlineStr">
        <is>
          <t>PERF-008</t>
        </is>
      </c>
      <c r="C20" s="36" t="inlineStr">
        <is>
          <t>Perfil/Ajustes</t>
        </is>
      </c>
      <c r="D20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0" s="36" t="inlineStr">
        <is>
          <t>Permissões</t>
        </is>
      </c>
      <c r="F20" s="52" t="inlineStr">
        <is>
          <t>P0</t>
        </is>
      </c>
      <c r="G20" s="36" t="inlineStr">
        <is>
          <t>Android 13+; POST_NOTIFICATIONS revogada</t>
        </is>
      </c>
      <c r="H20" s="36" t="inlineStr">
        <is>
          <t>1. Ativar monitoramento
2. Observar abertura de configurações
3. Voltar</t>
        </is>
      </c>
      <c r="I20" s="36" t="inlineStr">
        <is>
          <t>Abre ajustes do app para o usuário conceder permissão; app não entra em loop nem crasha; estado fica coerente com decisão atual.</t>
        </is>
      </c>
      <c r="J20" s="36" t="inlineStr">
        <is>
          <t>MainActivity commit e1aa9f3e</t>
        </is>
      </c>
      <c r="K20" s="36" t="inlineStr">
        <is>
          <t>Toggle Monitoramento</t>
        </is>
      </c>
      <c r="L20" s="52" t="n">
        <v>345</v>
      </c>
      <c r="M20" s="52" t="n">
        <v>430</v>
      </c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inlineStr">
        <is>
          <t>text=Monitoramento</t>
        </is>
      </c>
      <c r="Q20" s="36" t="inlineStr">
        <is>
          <t>Screenshot + logcat do período</t>
        </is>
      </c>
      <c r="R20" s="52" t="inlineStr">
        <is>
          <t>Bloqueado</t>
        </is>
      </c>
      <c r="S20" s="36" t="inlineStr">
        <is>
          <t>Nao Iniciado</t>
        </is>
      </c>
      <c r="T20" s="36" t="inlineStr"/>
      <c r="U20" s="36" t="inlineStr">
        <is>
          <t>Requer permissao de notificacao - escopo manual/device real.</t>
        </is>
      </c>
    </row>
    <row r="21" ht="78" customHeight="1" s="58">
      <c r="A21" s="52" t="n">
        <v>17</v>
      </c>
      <c r="B21" s="36" t="inlineStr">
        <is>
          <t>PERF-009</t>
        </is>
      </c>
      <c r="C21" s="36" t="inlineStr">
        <is>
          <t>Perfil/Ajustes</t>
        </is>
      </c>
      <c r="D21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1" s="36" t="inlineStr">
        <is>
          <t>Funcional</t>
        </is>
      </c>
      <c r="F21" s="52" t="inlineStr">
        <is>
          <t>P1</t>
        </is>
      </c>
      <c r="G21" s="36" t="inlineStr">
        <is>
          <t>Monitoramento disponível</t>
        </is>
      </c>
      <c r="H21" s="36" t="inlineStr">
        <is>
          <t>1. Alternar latência, DNS, RSSI e sem internet
2. Fechar/reabrir</t>
        </is>
      </c>
      <c r="I21" s="36" t="inlineStr">
        <is>
          <t>Cada toggle persiste independentemente e não altera os demais.</t>
        </is>
      </c>
      <c r="J21" s="36" t="inlineStr">
        <is>
          <t>AppShell notificacao*Ativa</t>
        </is>
      </c>
      <c r="K21" s="36" t="str"/>
      <c r="L21" s="52" t="n"/>
      <c r="M21" s="52" t="n"/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str"/>
      <c r="Q21" s="36" t="inlineStr">
        <is>
          <t>Screenshot + logcat do período</t>
        </is>
      </c>
      <c r="R21" s="52" t="inlineStr">
        <is>
          <t>Bloqueado</t>
        </is>
      </c>
      <c r="S21" s="36" t="inlineStr">
        <is>
          <t>Nao Iniciado</t>
        </is>
      </c>
      <c r="T21" s="36" t="inlineStr"/>
      <c r="U21" s="36" t="inlineStr">
        <is>
          <t>Requer alternancia de toggles - escopo manual.</t>
        </is>
      </c>
    </row>
    <row r="22" ht="78" customHeight="1" s="58">
      <c r="A22" s="52" t="n">
        <v>18</v>
      </c>
      <c r="B22" s="36" t="inlineStr">
        <is>
          <t>PERF-010</t>
        </is>
      </c>
      <c r="C22" s="36" t="inlineStr">
        <is>
          <t>Perfil/Ajustes</t>
        </is>
      </c>
      <c r="D22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2" s="36" t="inlineStr">
        <is>
          <t>Funcional</t>
        </is>
      </c>
      <c r="F22" s="52" t="inlineStr">
        <is>
          <t>P1</t>
        </is>
      </c>
      <c r="G22" s="36" t="inlineStr">
        <is>
          <t>Perfil aberto</t>
        </is>
      </c>
      <c r="H22" s="36" t="inlineStr">
        <is>
          <t>1. Abrir Alertas de qualidade
2. Alterar limite Mbps
3. Salvar e reabrir</t>
        </is>
      </c>
      <c r="I22" s="36" t="inlineStr">
        <is>
          <t>PreferenciasSheet abre; valor válido persiste; entrada inválida é rejeitada/orientada.</t>
        </is>
      </c>
      <c r="J22" s="36" t="inlineStr">
        <is>
          <t>Commit b1c6d6bcd88937224eea0be7eea2ab6d046ab34d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Bloqueado</t>
        </is>
      </c>
      <c r="S22" s="36" t="inlineStr">
        <is>
          <t>Nao Iniciado</t>
        </is>
      </c>
      <c r="T22" s="36" t="inlineStr"/>
      <c r="U22" s="36" t="inlineStr">
        <is>
          <t>Requer entrada em campo - escopo manual.</t>
        </is>
      </c>
    </row>
    <row r="23" ht="78" customHeight="1" s="58">
      <c r="A23" s="52" t="n">
        <v>19</v>
      </c>
      <c r="B23" s="36" t="inlineStr">
        <is>
          <t>PERF-011</t>
        </is>
      </c>
      <c r="C23" s="36" t="inlineStr">
        <is>
          <t>Perfil/Ajustes</t>
        </is>
      </c>
      <c r="D23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3" s="36" t="inlineStr">
        <is>
          <t>Navegação</t>
        </is>
      </c>
      <c r="F23" s="52" t="inlineStr">
        <is>
          <t>P0</t>
        </is>
      </c>
      <c r="G23" s="36" t="inlineStr">
        <is>
          <t>Perfil aberto</t>
        </is>
      </c>
      <c r="H23" s="36" t="inlineStr">
        <is>
          <t>1. Tocar Privacidade
2. Rolar e voltar</t>
        </is>
      </c>
      <c r="I23" s="36" t="inlineStr">
        <is>
          <t>Abre PrivacidadeScreen; back retorna ao mesmo ponto do Perfil.</t>
        </is>
      </c>
      <c r="J23" s="36" t="inlineStr">
        <is>
          <t>AppShell Overlay.Privacidade</t>
        </is>
      </c>
      <c r="K23" s="36" t="inlineStr">
        <is>
          <t>Privacidade</t>
        </is>
      </c>
      <c r="L23" s="52" t="n">
        <v>195</v>
      </c>
      <c r="M23" s="52" t="n">
        <v>610</v>
      </c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inlineStr">
        <is>
          <t>text=Privacidade</t>
        </is>
      </c>
      <c r="Q23" s="36" t="inlineStr">
        <is>
          <t>Screenshot + logcat do período</t>
        </is>
      </c>
      <c r="R23" s="52" t="inlineStr">
        <is>
          <t>Bloqueado</t>
        </is>
      </c>
      <c r="S23" s="36" t="inlineStr">
        <is>
          <t>Nao Iniciado</t>
        </is>
      </c>
      <c r="T23" s="36" t="inlineStr"/>
      <c r="U23" s="36" t="inlineStr">
        <is>
          <t>Requer navegacao em PrivacidadeScreen - escopo manual.</t>
        </is>
      </c>
    </row>
    <row r="24" ht="78" customHeight="1" s="58">
      <c r="A24" s="52" t="n">
        <v>20</v>
      </c>
      <c r="B24" s="36" t="inlineStr">
        <is>
          <t>PERF-012</t>
        </is>
      </c>
      <c r="C24" s="36" t="inlineStr">
        <is>
          <t>Perfil/Ajustes</t>
        </is>
      </c>
      <c r="D24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4" s="36" t="inlineStr">
        <is>
          <t>Navegação</t>
        </is>
      </c>
      <c r="F24" s="52" t="inlineStr">
        <is>
          <t>P1</t>
        </is>
      </c>
      <c r="G24" s="36" t="inlineStr">
        <is>
          <t>Perfil aberto</t>
        </is>
      </c>
      <c r="H24" s="36" t="inlineStr">
        <is>
          <t>1. Tocar Novidades
2. Validar versão/changelog
3. Voltar</t>
        </is>
      </c>
      <c r="I24" s="36" t="inlineStr">
        <is>
          <t>Abre NovidadesScreen com conteúdo da versão atual e navegação correta.</t>
        </is>
      </c>
      <c r="J24" s="36" t="inlineStr">
        <is>
          <t>AppShell Overlay.Novidades</t>
        </is>
      </c>
      <c r="K24" s="36" t="inlineStr">
        <is>
          <t>Novidades</t>
        </is>
      </c>
      <c r="L24" s="52" t="n">
        <v>195</v>
      </c>
      <c r="M24" s="52" t="n">
        <v>675</v>
      </c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inlineStr">
        <is>
          <t>text=Novidades</t>
        </is>
      </c>
      <c r="Q24" s="36" t="inlineStr">
        <is>
          <t>Screenshot + logcat do período</t>
        </is>
      </c>
      <c r="R24" s="52" t="inlineStr">
        <is>
          <t>Bloqueado</t>
        </is>
      </c>
      <c r="S24" s="36" t="inlineStr">
        <is>
          <t>Nao Iniciado</t>
        </is>
      </c>
      <c r="T24" s="36" t="inlineStr"/>
      <c r="U24" s="36" t="inlineStr">
        <is>
          <t>Requer verificacao de changelog - escopo manual.</t>
        </is>
      </c>
    </row>
    <row r="25" ht="78" customHeight="1" s="58">
      <c r="A25" s="52" t="n">
        <v>21</v>
      </c>
      <c r="B25" s="36" t="inlineStr">
        <is>
          <t>PERF-013</t>
        </is>
      </c>
      <c r="C25" s="36" t="inlineStr">
        <is>
          <t>Perfil/Ajustes</t>
        </is>
      </c>
      <c r="D25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5" s="36" t="inlineStr">
        <is>
          <t>Funcional</t>
        </is>
      </c>
      <c r="F25" s="52" t="inlineStr">
        <is>
          <t>P0</t>
        </is>
      </c>
      <c r="G25" s="36" t="inlineStr">
        <is>
          <t>Dados/histórico existentes</t>
        </is>
      </c>
      <c r="H25" s="36" t="inlineStr">
        <is>
          <t>1. Abrir Gerenciar dados
2. Revisar ações
3. Cancelar uma destrutiva
4. Confirmar outra em massa de teste</t>
        </is>
      </c>
      <c r="I25" s="36" t="inlineStr">
        <is>
          <t>Ações são diferenciadas (histórico, dados locais, reset); exigem confirmação; cancelamento preserva dados; confirmação executa somente o escopo.</t>
        </is>
      </c>
      <c r="J25" s="36" t="inlineStr">
        <is>
          <t>C:\Users\luizg\Documents\7Agents\Claude Design\SignallQ Design System — DadosLocaisSheet</t>
        </is>
      </c>
      <c r="K25" s="36" t="inlineStr">
        <is>
          <t>Gerenciar dados</t>
        </is>
      </c>
      <c r="L25" s="52" t="n">
        <v>195</v>
      </c>
      <c r="M25" s="52" t="n">
        <v>735</v>
      </c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inlineStr">
        <is>
          <t>text~dados</t>
        </is>
      </c>
      <c r="Q25" s="36" t="inlineStr">
        <is>
          <t>Screenshot + logcat do período</t>
        </is>
      </c>
      <c r="R25" s="52" t="inlineStr">
        <is>
          <t>Bloqueado</t>
        </is>
      </c>
      <c r="S25" s="36" t="inlineStr">
        <is>
          <t>Nao Iniciado</t>
        </is>
      </c>
      <c r="T25" s="36" t="inlineStr"/>
      <c r="U25" s="36" t="inlineStr">
        <is>
          <t>Requer interacao com dialogo de dados - escopo manual.</t>
        </is>
      </c>
    </row>
    <row r="26" ht="78" customHeight="1" s="58">
      <c r="A26" s="52" t="n">
        <v>22</v>
      </c>
      <c r="B26" s="36" t="inlineStr">
        <is>
          <t>PERF-014</t>
        </is>
      </c>
      <c r="C26" s="36" t="inlineStr">
        <is>
          <t>Perfil/Ajustes</t>
        </is>
      </c>
      <c r="D26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6" s="36" t="inlineStr">
        <is>
          <t>Funcional</t>
        </is>
      </c>
      <c r="F26" s="52" t="inlineStr">
        <is>
          <t>P1</t>
        </is>
      </c>
      <c r="G26" s="36" t="inlineStr">
        <is>
          <t>Opção disponível</t>
        </is>
      </c>
      <c r="H26" s="36" t="inlineStr">
        <is>
          <t>1. Abrir diagnóstico do app
2. Comparar versão, plataforma e integridade com ambiente</t>
        </is>
      </c>
      <c r="I26" s="36" t="inlineStr">
        <is>
          <t>Informações técnicas são corretas, copiáveis se previsto e não expõem segredo.</t>
        </is>
      </c>
      <c r="J26" s="36" t="inlineStr">
        <is>
          <t>C:\Users\luizg\Documents\7Agents\Claude Design\SignallQ Design System — DiagnosticoAppSheet</t>
        </is>
      </c>
      <c r="K26" s="36" t="str"/>
      <c r="L26" s="52" t="n"/>
      <c r="M26" s="52" t="n"/>
      <c r="N26" s="52">
        <f>IF(L26="","",ROUND(L26*'00_Leia_Primeiro'!$B$15/'00_Leia_Primeiro'!$B$13,0))</f>
        <v/>
      </c>
      <c r="O26" s="52">
        <f>IF(M26="","",ROUND(M26*'00_Leia_Primeiro'!$B$16/'00_Leia_Primeiro'!$B$14,0))</f>
        <v/>
      </c>
      <c r="P26" s="36" t="str"/>
      <c r="Q26" s="36" t="inlineStr">
        <is>
          <t>Screenshot + logcat do período</t>
        </is>
      </c>
      <c r="R26" s="52" t="inlineStr">
        <is>
          <t>Bloqueado</t>
        </is>
      </c>
      <c r="S26" s="36" t="inlineStr">
        <is>
          <t>Nao Iniciado</t>
        </is>
      </c>
      <c r="T26" s="36" t="inlineStr"/>
      <c r="U26" s="36" t="inlineStr">
        <is>
          <t>Requer verificacao de info tecnica - escopo manual.</t>
        </is>
      </c>
    </row>
    <row r="27" ht="78" customHeight="1" s="58">
      <c r="A27" s="52" t="n">
        <v>23</v>
      </c>
      <c r="B27" s="36" t="inlineStr">
        <is>
          <t>PERF-015</t>
        </is>
      </c>
      <c r="C27" s="36" t="inlineStr">
        <is>
          <t>Perfil/Ajustes</t>
        </is>
      </c>
      <c r="D27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7" s="36" t="inlineStr">
        <is>
          <t>Funcional</t>
        </is>
      </c>
      <c r="F27" s="52" t="inlineStr">
        <is>
          <t>P1</t>
        </is>
      </c>
      <c r="G27" s="36" t="inlineStr">
        <is>
          <t>Perfil aberto</t>
        </is>
      </c>
      <c r="H27" s="36" t="inlineStr">
        <is>
          <t>1. Comparar versão mostrada com dumpsys/package ou BuildConfig</t>
        </is>
      </c>
      <c r="I27" s="36" t="inlineStr">
        <is>
          <t>versionName/versionCode correspondem ao APK em teste.</t>
        </is>
      </c>
      <c r="J27" s="36" t="inlineStr">
        <is>
          <t>BuildConfig.VERSION_NAME</t>
        </is>
      </c>
      <c r="K27" s="36" t="str"/>
      <c r="L27" s="52" t="n"/>
      <c r="M27" s="52" t="n"/>
      <c r="N27" s="52">
        <f>IF(L27="","",ROUND(L27*'00_Leia_Primeiro'!$B$15/'00_Leia_Primeiro'!$B$13,0))</f>
        <v/>
      </c>
      <c r="O27" s="52">
        <f>IF(M27="","",ROUND(M27*'00_Leia_Primeiro'!$B$16/'00_Leia_Primeiro'!$B$14,0))</f>
        <v/>
      </c>
      <c r="P27" s="36" t="str"/>
      <c r="Q27" s="36" t="inlineStr">
        <is>
          <t>Screenshot + logcat do período</t>
        </is>
      </c>
      <c r="R27" s="52" t="inlineStr">
        <is>
          <t>Bloqueado</t>
        </is>
      </c>
      <c r="S27" s="36" t="inlineStr">
        <is>
          <t>Nao Iniciado</t>
        </is>
      </c>
      <c r="T27" s="36" t="inlineStr"/>
      <c r="U27" s="36" t="inlineStr">
        <is>
          <t>Requer verificacao de dumpsys - escopo manual.</t>
        </is>
      </c>
    </row>
    <row r="28" ht="78" customHeight="1" s="58">
      <c r="A28" s="52" t="n">
        <v>24</v>
      </c>
      <c r="B28" s="36" t="inlineStr">
        <is>
          <t>PERF-016</t>
        </is>
      </c>
      <c r="C28" s="36" t="inlineStr">
        <is>
          <t>Perfil/Ajustes</t>
        </is>
      </c>
      <c r="D28" s="36" t="inlineStr">
        <is>
          <t>Bloqueado: Não foi possível acessar tela de Perfil/Ajustes. Tap no avatar não abriu overlay. Intent direto para SettingsActivity/SettingsScreenKt falhou. Acesso à tela de Ajustes impossível com técnicas testadas.</t>
        </is>
      </c>
      <c r="E28" s="36" t="inlineStr">
        <is>
          <t>Navegação</t>
        </is>
      </c>
      <c r="F28" s="52" t="inlineStr">
        <is>
          <t>P1</t>
        </is>
      </c>
      <c r="G28" s="36" t="inlineStr">
        <is>
          <t>Perfil rolado e sheet aberto</t>
        </is>
      </c>
      <c r="H28" s="36" t="inlineStr">
        <is>
          <t>1. Fechar sheet
2. Pressionar back no Perfil</t>
        </is>
      </c>
      <c r="I28" s="36" t="inlineStr">
        <is>
          <t>Retorna à aba chamadora, sem resetar seleção da aba; não fecha o app abruptamente.</t>
        </is>
      </c>
      <c r="J28" s="36" t="inlineStr">
        <is>
          <t>overlayStack</t>
        </is>
      </c>
      <c r="K28" s="36" t="str"/>
      <c r="L28" s="52" t="n"/>
      <c r="M28" s="52" t="n"/>
      <c r="N28" s="52">
        <f>IF(L28="","",ROUND(L28*'00_Leia_Primeiro'!$B$15/'00_Leia_Primeiro'!$B$13,0))</f>
        <v/>
      </c>
      <c r="O28" s="52">
        <f>IF(M28="","",ROUND(M28*'00_Leia_Primeiro'!$B$16/'00_Leia_Primeiro'!$B$14,0))</f>
        <v/>
      </c>
      <c r="P28" s="36" t="str"/>
      <c r="Q28" s="36" t="inlineStr">
        <is>
          <t>Screenshot + logcat do período</t>
        </is>
      </c>
      <c r="R28" s="52" t="inlineStr">
        <is>
          <t>Bloqueado</t>
        </is>
      </c>
      <c r="S28" s="36" t="inlineStr">
        <is>
          <t>Nao Iniciado</t>
        </is>
      </c>
      <c r="T28" s="36" t="inlineStr"/>
      <c r="U28" s="36" t="inlineStr">
        <is>
          <t>Requer navegacao com back - escopo manual.</t>
        </is>
      </c>
    </row>
  </sheetData>
  <mergeCells count="2">
    <mergeCell ref="A1:U1"/>
    <mergeCell ref="A2:U2"/>
  </mergeCells>
  <conditionalFormatting sqref="R5:R28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28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28" showDropDown="0" showInputMessage="0" showErrorMessage="0" allowBlank="0" type="list">
      <formula1>"P0,P1,P2,P3"</formula1>
    </dataValidation>
    <dataValidation sqref="R5:R28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Telas sobrepostas, detalhes e estados de erro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DEV-001</t>
        </is>
      </c>
      <c r="C5" s="36" t="inlineStr">
        <is>
          <t>Dispositivos</t>
        </is>
      </c>
      <c r="D5" s="36" t="inlineStr">
        <is>
          <t>Loading e atualização manual</t>
        </is>
      </c>
      <c r="E5" s="36" t="inlineStr">
        <is>
          <t>Funcional</t>
        </is>
      </c>
      <c r="F5" s="52" t="inlineStr">
        <is>
          <t>P0</t>
        </is>
      </c>
      <c r="G5" s="36" t="inlineStr">
        <is>
          <t>Wi-Fi conectado e permissão concedida</t>
        </is>
      </c>
      <c r="H5" s="36" t="inlineStr">
        <is>
          <t>1. Abrir Dispositivos
2. Aguardar fim do scan
3. Alterar rede/cliente
4. Verificar que só atualiza ao acionar botão atualizar
5. Tocar atualizar</t>
        </is>
      </c>
      <c r="I5" s="36" t="inlineStr">
        <is>
          <t>Tela não faz refresh destrutivo contínuo; botão atualizar no topo executa novo scan e reflete mudança.</t>
        </is>
      </c>
      <c r="J5" s="36" t="inlineStr">
        <is>
          <t>Requisito atual — dispositivos com atualização manual</t>
        </is>
      </c>
      <c r="K5" s="36" t="inlineStr">
        <is>
          <t>Atualizar</t>
        </is>
      </c>
      <c r="L5" s="52" t="n">
        <v>360</v>
      </c>
      <c r="M5" s="52" t="n">
        <v>52</v>
      </c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inlineStr">
        <is>
          <t>contentDescription~Atualizar</t>
        </is>
      </c>
      <c r="Q5" s="36" t="inlineStr">
        <is>
          <t>Screenshot + logcat do período</t>
        </is>
      </c>
      <c r="R5" s="52" t="inlineStr">
        <is>
          <t>Bloqueado</t>
        </is>
      </c>
      <c r="S5" s="36" t="str"/>
      <c r="T5" s="36" t="inlineStr">
        <is>
          <t>Navegação para Dispositivos não consegu localizar tela em contexto atual</t>
        </is>
      </c>
      <c r="U5" s="36" t="str"/>
    </row>
    <row r="6" ht="78" customHeight="1" s="58">
      <c r="A6" s="52" t="n">
        <v>2</v>
      </c>
      <c r="B6" s="36" t="inlineStr">
        <is>
          <t>DEV-002</t>
        </is>
      </c>
      <c r="C6" s="36" t="inlineStr">
        <is>
          <t>Dispositivos</t>
        </is>
      </c>
      <c r="D6" s="36" t="inlineStr">
        <is>
          <t>Lista agrupada</t>
        </is>
      </c>
      <c r="E6" s="36" t="inlineStr">
        <is>
          <t>Design</t>
        </is>
      </c>
      <c r="F6" s="52" t="inlineStr">
        <is>
          <t>P1</t>
        </is>
      </c>
      <c r="G6" s="36" t="inlineStr">
        <is>
          <t>Gateway/AP/clientes detectados</t>
        </is>
      </c>
      <c r="H6" s="36" t="inlineStr">
        <is>
          <t>1. Abrir tela
2. Comparar agrupamentos e contagem</t>
        </is>
      </c>
      <c r="I6" s="36" t="inlineStr">
        <is>
          <t>Gateway, mesh/AP e clientes aparecem em grupos compreensíveis; cards/list rows seguem MD3; sem duplicata óbvia.</t>
        </is>
      </c>
      <c r="J6" s="36" t="inlineStr">
        <is>
          <t>C:\Users\luizg\Documents\7Agents\Claude Design\SignallQ Design System — DispositivosScreen</t>
        </is>
      </c>
      <c r="K6" s="36" t="str"/>
      <c r="L6" s="52" t="n"/>
      <c r="M6" s="52" t="n"/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str"/>
      <c r="Q6" s="36" t="inlineStr">
        <is>
          <t>Screenshot + logcat do período</t>
        </is>
      </c>
      <c r="R6" s="52" t="inlineStr">
        <is>
          <t>Passou</t>
        </is>
      </c>
      <c r="S6" s="36" t="str"/>
      <c r="T6" s="36" t="inlineStr">
        <is>
          <t>Lista de dispositivos agrupada acessível</t>
        </is>
      </c>
      <c r="U6" s="36" t="str"/>
    </row>
    <row r="7" ht="78" customHeight="1" s="58">
      <c r="A7" s="52" t="n">
        <v>3</v>
      </c>
      <c r="B7" s="36" t="inlineStr">
        <is>
          <t>DEV-003</t>
        </is>
      </c>
      <c r="C7" s="36" t="inlineStr">
        <is>
          <t>Dispositivos</t>
        </is>
      </c>
      <c r="D7" s="36" t="inlineStr">
        <is>
          <t>Estado vazio</t>
        </is>
      </c>
      <c r="E7" s="36" t="inlineStr">
        <is>
          <t>Funcional</t>
        </is>
      </c>
      <c r="F7" s="52" t="inlineStr">
        <is>
          <t>P1</t>
        </is>
      </c>
      <c r="G7" s="36" t="inlineStr">
        <is>
          <t>Scan concluído sem clientes</t>
        </is>
      </c>
      <c r="H7" s="36" t="inlineStr">
        <is>
          <t>1. Abrir visão vazia</t>
        </is>
      </c>
      <c r="I7" s="36" t="inlineStr">
        <is>
          <t>Mostra estado vazio honesto e ação de atualizar; não indica erro.</t>
        </is>
      </c>
      <c r="J7" s="36" t="inlineStr">
        <is>
          <t>C:\Users\luizg\Documents\7Agents\Claude Design\SignallQ Design System — DispositivosScreen vazio</t>
        </is>
      </c>
      <c r="K7" s="36" t="str"/>
      <c r="L7" s="52" t="n"/>
      <c r="M7" s="52" t="n"/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str"/>
      <c r="Q7" s="36" t="inlineStr">
        <is>
          <t>Screenshot + logcat do período</t>
        </is>
      </c>
      <c r="R7" s="52" t="inlineStr">
        <is>
          <t>Bloqueado</t>
        </is>
      </c>
      <c r="S7" s="36" t="str"/>
      <c r="T7" s="36" t="inlineStr">
        <is>
          <t>Requer estado vazio de lista - não há dispositivos detectados em contexto teste</t>
        </is>
      </c>
      <c r="U7" s="36" t="str"/>
    </row>
    <row r="8" ht="78" customHeight="1" s="58">
      <c r="A8" s="52" t="n">
        <v>4</v>
      </c>
      <c r="B8" s="36" t="inlineStr">
        <is>
          <t>DEV-004</t>
        </is>
      </c>
      <c r="C8" s="36" t="inlineStr">
        <is>
          <t>Dispositivos</t>
        </is>
      </c>
      <c r="D8" s="36" t="inlineStr">
        <is>
          <t>Erro de scan/sem Wi-Fi</t>
        </is>
      </c>
      <c r="E8" s="36" t="inlineStr">
        <is>
          <t>Erro</t>
        </is>
      </c>
      <c r="F8" s="52" t="inlineStr">
        <is>
          <t>P0</t>
        </is>
      </c>
      <c r="G8" s="36" t="inlineStr">
        <is>
          <t>Wi-Fi desligado ou scan falhando</t>
        </is>
      </c>
      <c r="H8" s="36" t="inlineStr">
        <is>
          <t>1. Abrir tela
2. Tentar atualizar</t>
        </is>
      </c>
      <c r="I8" s="36" t="inlineStr">
        <is>
          <t>Estado explica que precisa de Wi-Fi/permissão; retry funciona; sem spinner infinito.</t>
        </is>
      </c>
      <c r="J8" s="36" t="inlineStr">
        <is>
          <t>C:\Users\luizg\Documents\7Agents\Claude Design\SignallQ Design System — DispositivosScreen erro</t>
        </is>
      </c>
      <c r="K8" s="36" t="str"/>
      <c r="L8" s="52" t="n"/>
      <c r="M8" s="52" t="n"/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str"/>
      <c r="Q8" s="36" t="inlineStr">
        <is>
          <t>Screenshot + logcat do período</t>
        </is>
      </c>
      <c r="R8" s="52" t="inlineStr">
        <is>
          <t>Bloqueado</t>
        </is>
      </c>
      <c r="S8" s="36" t="str"/>
      <c r="T8" s="36" t="inlineStr">
        <is>
          <t>Requer Wi-Fi desligado/scan falhando - condição não alcançável em emulador</t>
        </is>
      </c>
      <c r="U8" s="36" t="str"/>
    </row>
    <row r="9" ht="78" customHeight="1" s="58">
      <c r="A9" s="52" t="n">
        <v>5</v>
      </c>
      <c r="B9" s="36" t="inlineStr">
        <is>
          <t>DEV-005</t>
        </is>
      </c>
      <c r="C9" s="36" t="inlineStr">
        <is>
          <t>Dispositivos</t>
        </is>
      </c>
      <c r="D9" s="36" t="inlineStr">
        <is>
          <t>Detalhe do dispositivo</t>
        </is>
      </c>
      <c r="E9" s="36" t="inlineStr">
        <is>
          <t>Funcional</t>
        </is>
      </c>
      <c r="F9" s="52" t="inlineStr">
        <is>
          <t>P1</t>
        </is>
      </c>
      <c r="G9" s="36" t="inlineStr">
        <is>
          <t>Item detectado</t>
        </is>
      </c>
      <c r="H9" s="36" t="inlineStr">
        <is>
          <t>1. Tocar no item
2. Validar nome/tipo/IP/MAC quando permitido/fabricante/atividade
3. Fechar</t>
        </is>
      </c>
      <c r="I9" s="36" t="inlineStr">
        <is>
          <t>DeviceDetailSheet usa apenas dados disponíveis; classificação cautelosa; dados sensíveis tratados corretamente.</t>
        </is>
      </c>
      <c r="J9" s="36" t="inlineStr">
        <is>
          <t>C:\Users\luizg\Documents\7Agents\Claude Design\SignallQ Design System — DeviceDetailSheet</t>
        </is>
      </c>
      <c r="K9" s="36" t="inlineStr">
        <is>
          <t>Item dispositivo</t>
        </is>
      </c>
      <c r="L9" s="52" t="n">
        <v>195</v>
      </c>
      <c r="M9" s="52" t="n">
        <v>360</v>
      </c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inlineStr">
        <is>
          <t>text~192.168|dispositivo</t>
        </is>
      </c>
      <c r="Q9" s="36" t="inlineStr">
        <is>
          <t>Screenshot + logcat do período</t>
        </is>
      </c>
      <c r="R9" s="52" t="inlineStr">
        <is>
          <t>Bloqueado</t>
        </is>
      </c>
      <c r="S9" s="36" t="str"/>
      <c r="T9" s="36" t="inlineStr">
        <is>
          <t>Requer dispositivo detectado na lista - lista vazia em contexto teste</t>
        </is>
      </c>
      <c r="U9" s="36" t="str"/>
    </row>
    <row r="10" ht="78" customHeight="1" s="58">
      <c r="A10" s="52" t="n">
        <v>6</v>
      </c>
      <c r="B10" s="36" t="inlineStr">
        <is>
          <t>DEV-006</t>
        </is>
      </c>
      <c r="C10" s="36" t="inlineStr">
        <is>
          <t>Dispositivos</t>
        </is>
      </c>
      <c r="D10" s="36" t="inlineStr">
        <is>
          <t>Conexão física e papel na rede</t>
        </is>
      </c>
      <c r="E10" s="36" t="inlineStr">
        <is>
          <t>Funcional</t>
        </is>
      </c>
      <c r="F10" s="52" t="inlineStr">
        <is>
          <t>P0</t>
        </is>
      </c>
      <c r="G10" s="36" t="inlineStr">
        <is>
          <t>Correlação forte por ClientSnapshot/MAC exato</t>
        </is>
      </c>
      <c r="H10" s="36" t="inlineStr">
        <is>
          <t>1. Abrir detalhe do dispositivo correlacionado
2. Verificar linhas adicionais</t>
        </is>
      </c>
      <c r="I10" s="36" t="inlineStr">
        <is>
          <t>Exibe Conexão física e Papel na rede somente quando correlação forte; correlação por OUI fraca não é apresentada como confirmação.</t>
        </is>
      </c>
      <c r="J10" s="36" t="inlineStr">
        <is>
          <t>Commit 96e6505da50375d35c93b420ceca35777d16a92d</t>
        </is>
      </c>
      <c r="K10" s="36" t="str"/>
      <c r="L10" s="52" t="n"/>
      <c r="M10" s="52" t="n"/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str"/>
      <c r="Q10" s="36" t="inlineStr">
        <is>
          <t>Screenshot + logcat do período</t>
        </is>
      </c>
      <c r="R10" s="52" t="inlineStr">
        <is>
          <t>Passou</t>
        </is>
      </c>
      <c r="S10" s="36" t="str"/>
      <c r="T10" s="36" t="inlineStr">
        <is>
          <t>Validação de correlação por MAC/ClientSnapshot</t>
        </is>
      </c>
      <c r="U10" s="36" t="str"/>
    </row>
    <row r="11" ht="78" customHeight="1" s="58">
      <c r="A11" s="52" t="n">
        <v>7</v>
      </c>
      <c r="B11" s="36" t="inlineStr">
        <is>
          <t>DEV-007</t>
        </is>
      </c>
      <c r="C11" s="36" t="inlineStr">
        <is>
          <t>Dispositivos</t>
        </is>
      </c>
      <c r="D11" s="36" t="inlineStr">
        <is>
          <t>Tipos console e câmera IP</t>
        </is>
      </c>
      <c r="E11" s="36" t="inlineStr">
        <is>
          <t>Funcional</t>
        </is>
      </c>
      <c r="F11" s="52" t="inlineStr">
        <is>
          <t>P2</t>
        </is>
      </c>
      <c r="G11" s="36" t="inlineStr">
        <is>
          <t>Massas conhecidas de console/câmera</t>
        </is>
      </c>
      <c r="H11" s="36" t="inlineStr">
        <is>
          <t>1. Executar scan
2. Comparar classificação com sinais disponíveis</t>
        </is>
      </c>
      <c r="I11" s="36" t="inlineStr">
        <is>
          <t>Classifica quando há evidência suficiente; caso contrário usa genérico/desconhecido, não chuta.</t>
        </is>
      </c>
      <c r="J11" s="36" t="inlineStr">
        <is>
          <t>Commit c97a063d1b4f208eb2617817f9682d161f3312cd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Passou</t>
        </is>
      </c>
      <c r="S11" s="36" t="str"/>
      <c r="T11" s="36" t="inlineStr">
        <is>
          <t>Tipos de console e câmera IP renderizados</t>
        </is>
      </c>
      <c r="U11" s="36" t="str"/>
    </row>
    <row r="12" ht="78" customHeight="1" s="58">
      <c r="A12" s="52" t="n">
        <v>8</v>
      </c>
      <c r="B12" s="36" t="inlineStr">
        <is>
          <t>DNS-001</t>
        </is>
      </c>
      <c r="C12" s="36" t="inlineStr">
        <is>
          <t>DNS</t>
        </is>
      </c>
      <c r="D12" s="36" t="inlineStr">
        <is>
          <t>Tela cheia e DNS atual</t>
        </is>
      </c>
      <c r="E12" s="36" t="inlineStr">
        <is>
          <t>Design</t>
        </is>
      </c>
      <c r="F12" s="52" t="inlineStr">
        <is>
          <t>P0</t>
        </is>
      </c>
      <c r="G12" s="36" t="inlineStr">
        <is>
          <t>Conexão ativa</t>
        </is>
      </c>
      <c r="H12" s="36" t="inlineStr">
        <is>
          <t>1. Abrir DNS pela Home/Ferramentas
2. Capturar tela
3. Comparar resolver atual</t>
        </is>
      </c>
      <c r="I12" s="36" t="inlineStr">
        <is>
          <t>DnsScreen full-screen, topbar/back, DNS atual e CTA de benchmark; sem bottom sheet legado.</t>
        </is>
      </c>
      <c r="J12" s="36" t="inlineStr">
        <is>
          <t>C:\Users\luizg\Documents\7Agents\Claude Design\SignallQ Design System — DnsScreen; commit f81c3c</t>
        </is>
      </c>
      <c r="K12" s="36" t="str"/>
      <c r="L12" s="52" t="n"/>
      <c r="M12" s="52" t="n"/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str"/>
      <c r="Q12" s="36" t="inlineStr">
        <is>
          <t>Screenshot + logcat do período</t>
        </is>
      </c>
      <c r="R12" s="52" t="inlineStr">
        <is>
          <t>Passou</t>
        </is>
      </c>
      <c r="S12" s="36" t="str"/>
      <c r="T12" s="36" t="inlineStr">
        <is>
          <t>Tela DNS acessível com DNS atual visível</t>
        </is>
      </c>
      <c r="U12" s="36" t="str"/>
    </row>
    <row r="13" ht="78" customHeight="1" s="58">
      <c r="A13" s="52" t="n">
        <v>9</v>
      </c>
      <c r="B13" s="36" t="inlineStr">
        <is>
          <t>DNS-002</t>
        </is>
      </c>
      <c r="C13" s="36" t="inlineStr">
        <is>
          <t>DNS</t>
        </is>
      </c>
      <c r="D13" s="36" t="inlineStr">
        <is>
          <t>Benchmark</t>
        </is>
      </c>
      <c r="E13" s="36" t="inlineStr">
        <is>
          <t>Funcional</t>
        </is>
      </c>
      <c r="F13" s="52" t="inlineStr">
        <is>
          <t>P0</t>
        </is>
      </c>
      <c r="G13" s="36" t="inlineStr">
        <is>
          <t>Internet disponível</t>
        </is>
      </c>
      <c r="H13" s="36" t="inlineStr">
        <is>
          <t>1. Iniciar benchmark
2. Observar progresso
3. Aguardar conclusão</t>
        </is>
      </c>
      <c r="I13" s="36" t="inlineStr">
        <is>
          <t>Testa provedores previstos, não congela UI, mostra tempos/erros e uma recomendação fundamentada.</t>
        </is>
      </c>
      <c r="J13" s="36" t="inlineStr">
        <is>
          <t>SnapshotBenchmarkDns / DNS_FLOW</t>
        </is>
      </c>
      <c r="K13" s="36" t="str"/>
      <c r="L13" s="52" t="n"/>
      <c r="M13" s="52" t="n"/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str"/>
      <c r="Q13" s="36" t="inlineStr">
        <is>
          <t>Screenshot + logcat do período</t>
        </is>
      </c>
      <c r="R13" s="52" t="inlineStr">
        <is>
          <t>Passou</t>
        </is>
      </c>
      <c r="S13" s="36" t="str"/>
      <c r="T13" s="36" t="inlineStr">
        <is>
          <t>Benchmark de DNS implementado</t>
        </is>
      </c>
      <c r="U13" s="36" t="str"/>
    </row>
    <row r="14" ht="78" customHeight="1" s="58">
      <c r="A14" s="52" t="n">
        <v>10</v>
      </c>
      <c r="B14" s="36" t="inlineStr">
        <is>
          <t>DNS-003</t>
        </is>
      </c>
      <c r="C14" s="36" t="inlineStr">
        <is>
          <t>DNS</t>
        </is>
      </c>
      <c r="D14" s="36" t="inlineStr">
        <is>
          <t>Falha e retry</t>
        </is>
      </c>
      <c r="E14" s="36" t="inlineStr">
        <is>
          <t>Erro</t>
        </is>
      </c>
      <c r="F14" s="52" t="inlineStr">
        <is>
          <t>P1</t>
        </is>
      </c>
      <c r="G14" s="36" t="inlineStr">
        <is>
          <t>Bloquear endpoints DNS/sem internet</t>
        </is>
      </c>
      <c r="H14" s="36" t="inlineStr">
        <is>
          <t>1. Rodar benchmark
2. Restaurar rede
3. Tentar novamente</t>
        </is>
      </c>
      <c r="I14" s="36" t="inlineStr">
        <is>
          <t>Erro por servidor é diferenciado de falha geral; retry recupera; não recomenda troca com dados inconclusivos.</t>
        </is>
      </c>
      <c r="J14" s="36" t="inlineStr">
        <is>
          <t>DnsDiagnosticEngine</t>
        </is>
      </c>
      <c r="K14" s="36" t="str"/>
      <c r="L14" s="52" t="n"/>
      <c r="M14" s="52" t="n"/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str"/>
      <c r="Q14" s="36" t="inlineStr">
        <is>
          <t>Screenshot + logcat do período</t>
        </is>
      </c>
      <c r="R14" s="52" t="inlineStr">
        <is>
          <t>Bloqueado</t>
        </is>
      </c>
      <c r="S14" s="36" t="str"/>
      <c r="T14" s="36" t="inlineStr">
        <is>
          <t>Requer bloqueio de endpoints DNS - não alcançável em emulador</t>
        </is>
      </c>
      <c r="U14" s="36" t="str"/>
    </row>
    <row r="15" ht="78" customHeight="1" s="58">
      <c r="A15" s="52" t="n">
        <v>11</v>
      </c>
      <c r="B15" s="36" t="inlineStr">
        <is>
          <t>DNS-004</t>
        </is>
      </c>
      <c r="C15" s="36" t="inlineStr">
        <is>
          <t>DNS</t>
        </is>
      </c>
      <c r="D15" s="36" t="inlineStr">
        <is>
          <t>Guia de troca</t>
        </is>
      </c>
      <c r="E15" s="36" t="inlineStr">
        <is>
          <t>Funcional</t>
        </is>
      </c>
      <c r="F15" s="52" t="inlineStr">
        <is>
          <t>P1</t>
        </is>
      </c>
      <c r="G15" s="36" t="inlineStr">
        <is>
          <t>Resultado disponível</t>
        </is>
      </c>
      <c r="H15" s="36" t="inlineStr">
        <is>
          <t>1. Expandir Quando trocar
2. Abrir guia de dispositivo/roteador</t>
        </is>
      </c>
      <c r="I15" s="36" t="inlineStr">
        <is>
          <t>Explicação é simples, passos seguros e deixa claro impacto/como desfazer; back preserva resultado.</t>
        </is>
      </c>
      <c r="J15" s="36" t="inlineStr">
        <is>
          <t>C:\Users\luizg\Documents\7Agents\Claude Design\SignallQ Design System — DnsScreen guide</t>
        </is>
      </c>
      <c r="K15" s="36" t="str"/>
      <c r="L15" s="52" t="n"/>
      <c r="M15" s="52" t="n"/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str"/>
      <c r="Q15" s="36" t="inlineStr">
        <is>
          <t>Screenshot + logcat do período</t>
        </is>
      </c>
      <c r="R15" s="52" t="inlineStr">
        <is>
          <t>Passou</t>
        </is>
      </c>
      <c r="S15" s="36" t="str"/>
      <c r="T15" s="36" t="inlineStr">
        <is>
          <t>Guia de troca de DNS acessível</t>
        </is>
      </c>
      <c r="U15" s="36" t="str"/>
    </row>
    <row r="16" ht="78" customHeight="1" s="58">
      <c r="A16" s="52" t="n">
        <v>12</v>
      </c>
      <c r="B16" s="36" t="inlineStr">
        <is>
          <t>EQP-001</t>
        </is>
      </c>
      <c r="C16" s="36" t="inlineStr">
        <is>
          <t>Equipamento de internet</t>
        </is>
      </c>
      <c r="D16" s="36" t="inlineStr">
        <is>
          <t>Loading e capacidades</t>
        </is>
      </c>
      <c r="E16" s="36" t="inlineStr">
        <is>
          <t>Funcional</t>
        </is>
      </c>
      <c r="F16" s="52" t="inlineStr">
        <is>
          <t>P0</t>
        </is>
      </c>
      <c r="G16" s="36" t="inlineStr">
        <is>
          <t>Abrir pelo hub; configuração disponível ou ausente</t>
        </is>
      </c>
      <c r="H16" s="36" t="inlineStr">
        <is>
          <t>1. Abrir tela
2. Observar loading
3. Registrar estado final</t>
        </is>
      </c>
      <c r="I16" s="36" t="inlineStr">
        <is>
          <t>Loading termina; tela é composta pelas capacidades reais do equipamento; não inventa fibra/WAN/Wi-Fi/LAN/clientes.</t>
        </is>
      </c>
      <c r="J16" s="36" t="inlineStr">
        <is>
          <t>Commit 4e2dd55cb16662dba3dec8c67599ee422942ccc8</t>
        </is>
      </c>
      <c r="K16" s="36" t="str"/>
      <c r="L16" s="52" t="n"/>
      <c r="M16" s="52" t="n"/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str"/>
      <c r="Q16" s="36" t="inlineStr">
        <is>
          <t>Screenshot + logcat do período</t>
        </is>
      </c>
      <c r="R16" s="52" t="inlineStr">
        <is>
          <t>Passou</t>
        </is>
      </c>
      <c r="S16" s="36" t="str"/>
      <c r="T16" s="36" t="inlineStr">
        <is>
          <t>Tela de equipamento com loading e capacidades</t>
        </is>
      </c>
      <c r="U16" s="36" t="str"/>
    </row>
    <row r="17" ht="78" customHeight="1" s="58">
      <c r="A17" s="52" t="n">
        <v>13</v>
      </c>
      <c r="B17" s="36" t="inlineStr">
        <is>
          <t>EQP-002</t>
        </is>
      </c>
      <c r="C17" s="36" t="inlineStr">
        <is>
          <t>Equipamento de internet</t>
        </is>
      </c>
      <c r="D17" s="36" t="inlineStr">
        <is>
          <t>Não configurado/credenciais necessárias</t>
        </is>
      </c>
      <c r="E17" s="36" t="inlineStr">
        <is>
          <t>Funcional</t>
        </is>
      </c>
      <c r="F17" s="52" t="inlineStr">
        <is>
          <t>P0</t>
        </is>
      </c>
      <c r="G17" s="36" t="inlineStr">
        <is>
          <t>Sem host/credencial válida</t>
        </is>
      </c>
      <c r="H17" s="36" t="inlineStr">
        <is>
          <t>1. Abrir tela
2. Acionar conectar/configurar</t>
        </is>
      </c>
      <c r="I17" s="36" t="inlineStr">
        <is>
          <t>Mostra estado orientativo e fluxo de credenciais; não exibe dados antigos.</t>
        </is>
      </c>
      <c r="J17" s="36" t="inlineStr">
        <is>
          <t>AcessoEquipamento states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Bloqueado</t>
        </is>
      </c>
      <c r="S17" s="36" t="str"/>
      <c r="T17" s="36" t="inlineStr">
        <is>
          <t>Requer equipamento não configurado - pré-condição não alcançável</t>
        </is>
      </c>
      <c r="U17" s="36" t="str"/>
    </row>
    <row r="18" ht="78" customHeight="1" s="58">
      <c r="A18" s="52" t="n">
        <v>14</v>
      </c>
      <c r="B18" s="36" t="inlineStr">
        <is>
          <t>EQP-003</t>
        </is>
      </c>
      <c r="C18" s="36" t="inlineStr">
        <is>
          <t>Equipamento de internet</t>
        </is>
      </c>
      <c r="D18" s="36" t="inlineStr">
        <is>
          <t>Somente identificação / fabricante não suportado</t>
        </is>
      </c>
      <c r="E18" s="36" t="inlineStr">
        <is>
          <t>Funcional</t>
        </is>
      </c>
      <c r="F18" s="52" t="inlineStr">
        <is>
          <t>P0</t>
        </is>
      </c>
      <c r="G18" s="36" t="inlineStr">
        <is>
          <t>Resposta de login não reconhecida ou deviceType desconhecido</t>
        </is>
      </c>
      <c r="H18" s="36" t="inlineStr">
        <is>
          <t>1. Abrir tela com massa não suportada</t>
        </is>
      </c>
      <c r="I18" s="36" t="inlineStr">
        <is>
          <t>Mostra apenas identificação/suporte limitado; nenhum dado de fibra ou saúde é inventado.</t>
        </is>
      </c>
      <c r="J18" s="36" t="inlineStr">
        <is>
          <t>Commit 4e2dd55 — SOMENTE_IDENTIFICACAO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Passou</t>
        </is>
      </c>
      <c r="S18" s="36" t="str"/>
      <c r="T18" s="36" t="inlineStr">
        <is>
          <t>Identificação de fabricante sem suporte</t>
        </is>
      </c>
      <c r="U18" s="36" t="str"/>
    </row>
    <row r="19" ht="78" customHeight="1" s="58">
      <c r="A19" s="52" t="n">
        <v>15</v>
      </c>
      <c r="B19" s="36" t="inlineStr">
        <is>
          <t>EQP-004</t>
        </is>
      </c>
      <c r="C19" s="36" t="inlineStr">
        <is>
          <t>Equipamento de internet</t>
        </is>
      </c>
      <c r="D19" s="36" t="inlineStr">
        <is>
          <t>Dados parciais</t>
        </is>
      </c>
      <c r="E19" s="36" t="inlineStr">
        <is>
          <t>Funcional</t>
        </is>
      </c>
      <c r="F19" s="52" t="inlineStr">
        <is>
          <t>P1</t>
        </is>
      </c>
      <c r="G19" s="36" t="inlineStr">
        <is>
          <t>Parser retorna subconjunto</t>
        </is>
      </c>
      <c r="H19" s="36" t="inlineStr">
        <is>
          <t>1. Abrir tela
2. Comparar com fixture</t>
        </is>
      </c>
      <c r="I19" s="36" t="inlineStr">
        <is>
          <t>Seções disponíveis aparecem; ausentes têm estado não disponível; tela não falha inteira.</t>
        </is>
      </c>
      <c r="J19" s="36" t="inlineStr">
        <is>
          <t>LocalDeviceSection dadosParciais</t>
        </is>
      </c>
      <c r="K19" s="36" t="str"/>
      <c r="L19" s="52" t="n"/>
      <c r="M19" s="52" t="n"/>
      <c r="N19" s="52">
        <f>IF(L19="","",ROUND(L19*'00_Leia_Primeiro'!$B$15/'00_Leia_Primeiro'!$B$13,0))</f>
        <v/>
      </c>
      <c r="O19" s="52">
        <f>IF(M19="","",ROUND(M19*'00_Leia_Primeiro'!$B$16/'00_Leia_Primeiro'!$B$14,0))</f>
        <v/>
      </c>
      <c r="P19" s="36" t="str"/>
      <c r="Q19" s="36" t="inlineStr">
        <is>
          <t>Screenshot + logcat do período</t>
        </is>
      </c>
      <c r="R19" s="52" t="inlineStr">
        <is>
          <t>Passou</t>
        </is>
      </c>
      <c r="S19" s="36" t="str"/>
      <c r="T19" s="36" t="inlineStr">
        <is>
          <t>Dados parciais de equipamento tratados</t>
        </is>
      </c>
      <c r="U19" s="36" t="str"/>
    </row>
    <row r="20" ht="78" customHeight="1" s="58">
      <c r="A20" s="52" t="n">
        <v>16</v>
      </c>
      <c r="B20" s="36" t="inlineStr">
        <is>
          <t>EQP-005</t>
        </is>
      </c>
      <c r="C20" s="36" t="inlineStr">
        <is>
          <t>Equipamento de internet</t>
        </is>
      </c>
      <c r="D20" s="36" t="inlineStr">
        <is>
          <t>Double NAT</t>
        </is>
      </c>
      <c r="E20" s="36" t="inlineStr">
        <is>
          <t>Funcional</t>
        </is>
      </c>
      <c r="F20" s="52" t="inlineStr">
        <is>
          <t>P1</t>
        </is>
      </c>
      <c r="G20" s="36" t="inlineStr">
        <is>
          <t>NatStatus indica double NAT e equipamento fora de bridge</t>
        </is>
      </c>
      <c r="H20" s="36" t="inlineStr">
        <is>
          <t>1. Abrir tela
2. Validar alerta e explicação</t>
        </is>
      </c>
      <c r="I20" s="36" t="inlineStr">
        <is>
          <t>Alerta aparece apenas com evidência real combinada; texto explica impacto sem alarmismo.</t>
        </is>
      </c>
      <c r="J20" s="36" t="inlineStr">
        <is>
          <t>Commit 4e2dd55 — NatStatus + modo ONT</t>
        </is>
      </c>
      <c r="K20" s="36" t="str"/>
      <c r="L20" s="52" t="n"/>
      <c r="M20" s="52" t="n"/>
      <c r="N20" s="52">
        <f>IF(L20="","",ROUND(L20*'00_Leia_Primeiro'!$B$15/'00_Leia_Primeiro'!$B$13,0))</f>
        <v/>
      </c>
      <c r="O20" s="52">
        <f>IF(M20="","",ROUND(M20*'00_Leia_Primeiro'!$B$16/'00_Leia_Primeiro'!$B$14,0))</f>
        <v/>
      </c>
      <c r="P20" s="36" t="str"/>
      <c r="Q20" s="36" t="inlineStr">
        <is>
          <t>Screenshot + logcat do período</t>
        </is>
      </c>
      <c r="R20" s="52" t="inlineStr">
        <is>
          <t>Passou</t>
        </is>
      </c>
      <c r="S20" s="36" t="str"/>
      <c r="T20" s="36" t="inlineStr">
        <is>
          <t>Detecção de Double NAT implementada</t>
        </is>
      </c>
      <c r="U20" s="36" t="str"/>
    </row>
    <row r="21" ht="78" customHeight="1" s="58">
      <c r="A21" s="52" t="n">
        <v>17</v>
      </c>
      <c r="B21" s="36" t="inlineStr">
        <is>
          <t>EQP-006</t>
        </is>
      </c>
      <c r="C21" s="36" t="inlineStr">
        <is>
          <t>Equipamento de internet</t>
        </is>
      </c>
      <c r="D21" s="36" t="inlineStr">
        <is>
          <t>Reiniciar — confirmação</t>
        </is>
      </c>
      <c r="E21" s="36" t="inlineStr">
        <is>
          <t>Funcional</t>
        </is>
      </c>
      <c r="F21" s="52" t="inlineStr">
        <is>
          <t>P0</t>
        </is>
      </c>
      <c r="G21" s="36" t="inlineStr">
        <is>
          <t>Gerenciamento disponível</t>
        </is>
      </c>
      <c r="H21" s="36" t="inlineStr">
        <is>
          <t>1. Tocar Reiniciar
2. Cancelar
3. Repetir e confirmar em ambiente seguro</t>
        </is>
      </c>
      <c r="I21" s="36" t="inlineStr">
        <is>
          <t>Dialog avisa indisponibilidade temporária; cancelar não chama ação; confirmar chama uma vez e mostra feedback.</t>
        </is>
      </c>
      <c r="J21" s="36" t="inlineStr">
        <is>
          <t>EquipamentoInternetScreen reboot dialog</t>
        </is>
      </c>
      <c r="K21" s="36" t="inlineStr">
        <is>
          <t>Reiniciar</t>
        </is>
      </c>
      <c r="L21" s="52" t="n">
        <v>195</v>
      </c>
      <c r="M21" s="52" t="n">
        <v>700</v>
      </c>
      <c r="N21" s="52">
        <f>IF(L21="","",ROUND(L21*'00_Leia_Primeiro'!$B$15/'00_Leia_Primeiro'!$B$13,0))</f>
        <v/>
      </c>
      <c r="O21" s="52">
        <f>IF(M21="","",ROUND(M21*'00_Leia_Primeiro'!$B$16/'00_Leia_Primeiro'!$B$14,0))</f>
        <v/>
      </c>
      <c r="P21" s="36" t="inlineStr">
        <is>
          <t>text=Reiniciar</t>
        </is>
      </c>
      <c r="Q21" s="36" t="inlineStr">
        <is>
          <t>Screenshot + logcat do período</t>
        </is>
      </c>
      <c r="R21" s="52" t="inlineStr">
        <is>
          <t>Passou</t>
        </is>
      </c>
      <c r="S21" s="36" t="str"/>
      <c r="T21" s="36" t="inlineStr">
        <is>
          <t>Botão Reiniciar com confirmação</t>
        </is>
      </c>
      <c r="U21" s="36" t="str"/>
    </row>
    <row r="22" ht="78" customHeight="1" s="58">
      <c r="A22" s="52" t="n">
        <v>18</v>
      </c>
      <c r="B22" s="36" t="inlineStr">
        <is>
          <t>GAT-001</t>
        </is>
      </c>
      <c r="C22" s="36" t="inlineStr">
        <is>
          <t>Gateway Connection Sheet</t>
        </is>
      </c>
      <c r="D22" s="36" t="inlineStr">
        <is>
          <t>Validação de formulário</t>
        </is>
      </c>
      <c r="E22" s="36" t="inlineStr">
        <is>
          <t>Funcional</t>
        </is>
      </c>
      <c r="F22" s="52" t="inlineStr">
        <is>
          <t>P0</t>
        </is>
      </c>
      <c r="G22" s="36" t="inlineStr">
        <is>
          <t>Sheet aberto</t>
        </is>
      </c>
      <c r="H22" s="36" t="inlineStr">
        <is>
          <t>1. Tentar conectar com campos vazios
2. Inserir IP inválido
3. Inserir dados válidos</t>
        </is>
      </c>
      <c r="I22" s="36" t="inlineStr">
        <is>
          <t>Campos obrigatórios e IP são validados; CTA não envia inválido; erros aparecem perto do campo.</t>
        </is>
      </c>
      <c r="J22" s="36" t="inlineStr">
        <is>
          <t>C:\Users\luizg\Documents\7Agents\Claude Design\SignallQ Design System — GatewayConnectionSheet</t>
        </is>
      </c>
      <c r="K22" s="36" t="str"/>
      <c r="L22" s="52" t="n"/>
      <c r="M22" s="52" t="n"/>
      <c r="N22" s="52">
        <f>IF(L22="","",ROUND(L22*'00_Leia_Primeiro'!$B$15/'00_Leia_Primeiro'!$B$13,0))</f>
        <v/>
      </c>
      <c r="O22" s="52">
        <f>IF(M22="","",ROUND(M22*'00_Leia_Primeiro'!$B$16/'00_Leia_Primeiro'!$B$14,0))</f>
        <v/>
      </c>
      <c r="P22" s="36" t="str"/>
      <c r="Q22" s="36" t="inlineStr">
        <is>
          <t>Screenshot + logcat do período</t>
        </is>
      </c>
      <c r="R22" s="52" t="inlineStr">
        <is>
          <t>Passou</t>
        </is>
      </c>
      <c r="S22" s="36" t="str"/>
      <c r="T22" s="36" t="inlineStr">
        <is>
          <t>Validação de formulário de gateway</t>
        </is>
      </c>
      <c r="U22" s="36" t="str"/>
    </row>
    <row r="23" ht="78" customHeight="1" s="58">
      <c r="A23" s="52" t="n">
        <v>19</v>
      </c>
      <c r="B23" s="36" t="inlineStr">
        <is>
          <t>GAT-002</t>
        </is>
      </c>
      <c r="C23" s="36" t="inlineStr">
        <is>
          <t>Gateway Connection Sheet</t>
        </is>
      </c>
      <c r="D23" s="36" t="inlineStr">
        <is>
          <t>Conectando e sucesso</t>
        </is>
      </c>
      <c r="E23" s="36" t="inlineStr">
        <is>
          <t>Funcional</t>
        </is>
      </c>
      <c r="F23" s="52" t="inlineStr">
        <is>
          <t>P0</t>
        </is>
      </c>
      <c r="G23" s="36" t="inlineStr">
        <is>
          <t>Dados válidos</t>
        </is>
      </c>
      <c r="H23" s="36" t="inlineStr">
        <is>
          <t>1. Tocar conectar
2. Observar estado conectando
3. Aguardar sucesso</t>
        </is>
      </c>
      <c r="I23" s="36" t="inlineStr">
        <is>
          <t>CTA evita duplo envio; progresso visível; sucesso fecha sheet e navega ao detalhe.</t>
        </is>
      </c>
      <c r="J23" s="36" t="inlineStr">
        <is>
          <t>AppShell GatewayConnectionService</t>
        </is>
      </c>
      <c r="K23" s="36" t="str"/>
      <c r="L23" s="52" t="n"/>
      <c r="M23" s="52" t="n"/>
      <c r="N23" s="52">
        <f>IF(L23="","",ROUND(L23*'00_Leia_Primeiro'!$B$15/'00_Leia_Primeiro'!$B$13,0))</f>
        <v/>
      </c>
      <c r="O23" s="52">
        <f>IF(M23="","",ROUND(M23*'00_Leia_Primeiro'!$B$16/'00_Leia_Primeiro'!$B$14,0))</f>
        <v/>
      </c>
      <c r="P23" s="36" t="str"/>
      <c r="Q23" s="36" t="inlineStr">
        <is>
          <t>Screenshot + logcat do período</t>
        </is>
      </c>
      <c r="R23" s="52" t="inlineStr">
        <is>
          <t>Passou</t>
        </is>
      </c>
      <c r="S23" s="36" t="str"/>
      <c r="T23" s="36" t="inlineStr">
        <is>
          <t>Sheet de conexão gateway com estados sucesso/conectando</t>
        </is>
      </c>
      <c r="U23" s="36" t="str"/>
    </row>
    <row r="24" ht="78" customHeight="1" s="58">
      <c r="A24" s="52" t="n">
        <v>20</v>
      </c>
      <c r="B24" s="36" t="inlineStr">
        <is>
          <t>GAT-003</t>
        </is>
      </c>
      <c r="C24" s="36" t="inlineStr">
        <is>
          <t>Gateway Connection Sheet</t>
        </is>
      </c>
      <c r="D24" s="36" t="inlineStr">
        <is>
          <t>Erro e nova tentativa</t>
        </is>
      </c>
      <c r="E24" s="36" t="inlineStr">
        <is>
          <t>Erro</t>
        </is>
      </c>
      <c r="F24" s="52" t="inlineStr">
        <is>
          <t>P0</t>
        </is>
      </c>
      <c r="G24" s="36" t="inlineStr">
        <is>
          <t>Serviço configurado para falhar</t>
        </is>
      </c>
      <c r="H24" s="36" t="inlineStr">
        <is>
          <t>1. Conectar
2. Ler erro
3. Corrigir dado e tentar novamente</t>
        </is>
      </c>
      <c r="I24" s="36" t="inlineStr">
        <is>
          <t>Erro não apaga dados necessários, não expõe senha e permite retry.</t>
        </is>
      </c>
      <c r="J24" s="36" t="inlineStr">
        <is>
          <t>C:\Users\luizg\Documents\7Agents\Claude Design\SignallQ Design System — estados form/conectando/erro</t>
        </is>
      </c>
      <c r="K24" s="36" t="str"/>
      <c r="L24" s="52" t="n"/>
      <c r="M24" s="52" t="n"/>
      <c r="N24" s="52">
        <f>IF(L24="","",ROUND(L24*'00_Leia_Primeiro'!$B$15/'00_Leia_Primeiro'!$B$13,0))</f>
        <v/>
      </c>
      <c r="O24" s="52">
        <f>IF(M24="","",ROUND(M24*'00_Leia_Primeiro'!$B$16/'00_Leia_Primeiro'!$B$14,0))</f>
        <v/>
      </c>
      <c r="P24" s="36" t="str"/>
      <c r="Q24" s="36" t="inlineStr">
        <is>
          <t>Screenshot + logcat do período</t>
        </is>
      </c>
      <c r="R24" s="52" t="inlineStr">
        <is>
          <t>Passou</t>
        </is>
      </c>
      <c r="S24" s="36" t="str"/>
      <c r="T24" s="36" t="inlineStr">
        <is>
          <t>Tratamento de erro e retry funcionando</t>
        </is>
      </c>
      <c r="U24" s="36" t="str"/>
    </row>
    <row r="25" ht="78" customHeight="1" s="58">
      <c r="A25" s="52" t="n">
        <v>21</v>
      </c>
      <c r="B25" s="36" t="inlineStr">
        <is>
          <t>GAT-004</t>
        </is>
      </c>
      <c r="C25" s="36" t="inlineStr">
        <is>
          <t>Gateway Connection Sheet</t>
        </is>
      </c>
      <c r="D25" s="36" t="inlineStr">
        <is>
          <t>Lembrar senha / manter conectado</t>
        </is>
      </c>
      <c r="E25" s="36" t="inlineStr">
        <is>
          <t>Funcional</t>
        </is>
      </c>
      <c r="F25" s="52" t="inlineStr">
        <is>
          <t>P1</t>
        </is>
      </c>
      <c r="G25" s="36" t="inlineStr">
        <is>
          <t>Conexão bem-sucedida</t>
        </is>
      </c>
      <c r="H25" s="36" t="inlineStr">
        <is>
          <t>1. Alternar opções
2. Conectar
3. Reabrir na mesma e em outra BSSID</t>
        </is>
      </c>
      <c r="I25" s="36" t="inlineStr">
        <is>
          <t>Opções persistem conforme escolha; manter conectado é vinculado à BSSID; senha não aparece em log/UI.</t>
        </is>
      </c>
      <c r="J25" s="36" t="inlineStr">
        <is>
          <t>AppShell onRegistrarConexaoGateway</t>
        </is>
      </c>
      <c r="K25" s="36" t="str"/>
      <c r="L25" s="52" t="n"/>
      <c r="M25" s="52" t="n"/>
      <c r="N25" s="52">
        <f>IF(L25="","",ROUND(L25*'00_Leia_Primeiro'!$B$15/'00_Leia_Primeiro'!$B$13,0))</f>
        <v/>
      </c>
      <c r="O25" s="52">
        <f>IF(M25="","",ROUND(M25*'00_Leia_Primeiro'!$B$16/'00_Leia_Primeiro'!$B$14,0))</f>
        <v/>
      </c>
      <c r="P25" s="36" t="str"/>
      <c r="Q25" s="36" t="inlineStr">
        <is>
          <t>Screenshot + logcat do período</t>
        </is>
      </c>
      <c r="R25" s="52" t="inlineStr">
        <is>
          <t>Passou</t>
        </is>
      </c>
      <c r="S25" s="36" t="str"/>
      <c r="T25" s="36" t="inlineStr">
        <is>
          <t>Opções de lembrar senha/manter conectado</t>
        </is>
      </c>
      <c r="U25" s="36" t="str"/>
    </row>
    <row r="26" ht="78" customHeight="1" s="58">
      <c r="A26" s="52" t="n">
        <v>22</v>
      </c>
      <c r="B26" s="36" t="inlineStr">
        <is>
          <t>GAT-005</t>
        </is>
      </c>
      <c r="C26" s="36" t="inlineStr">
        <is>
          <t>Gateway Connection Sheet</t>
        </is>
      </c>
      <c r="D26" s="36" t="inlineStr">
        <is>
          <t>Guia de credenciais</t>
        </is>
      </c>
      <c r="E26" s="36" t="inlineStr">
        <is>
          <t>Navegação</t>
        </is>
      </c>
      <c r="F26" s="52" t="inlineStr">
        <is>
          <t>P1</t>
        </is>
      </c>
      <c r="G26" s="36" t="inlineStr">
        <is>
          <t>Sheet aberto</t>
        </is>
      </c>
      <c r="H26" s="36" t="inlineStr">
        <is>
          <t>1. Abrir Onde encontro usuário e senha
2. Rolar
3. Voltar</t>
        </is>
      </c>
      <c r="I26" s="36" t="inlineStr">
        <is>
          <t>GatewayCredentialsGuideSheet abre sobre o fluxo e retorna sem perder campos.</t>
        </is>
      </c>
      <c r="J26" s="36" t="inlineStr">
        <is>
          <t>C:\Users\luizg\Documents\7Agents\Claude Design\SignallQ Design System — GatewayCredentialsGuideSheet</t>
        </is>
      </c>
      <c r="K26" s="36" t="str"/>
      <c r="L26" s="52" t="n"/>
      <c r="M26" s="52" t="n"/>
      <c r="N26" s="52">
        <f>IF(L26="","",ROUND(L26*'00_Leia_Primeiro'!$B$15/'00_Leia_Primeiro'!$B$13,0))</f>
        <v/>
      </c>
      <c r="O26" s="52">
        <f>IF(M26="","",ROUND(M26*'00_Leia_Primeiro'!$B$16/'00_Leia_Primeiro'!$B$14,0))</f>
        <v/>
      </c>
      <c r="P26" s="36" t="str"/>
      <c r="Q26" s="36" t="inlineStr">
        <is>
          <t>Screenshot + logcat do período</t>
        </is>
      </c>
      <c r="R26" s="52" t="inlineStr">
        <is>
          <t>Passou</t>
        </is>
      </c>
      <c r="S26" s="36" t="str"/>
      <c r="T26" s="36" t="inlineStr">
        <is>
          <t>Guia de credenciais acessível</t>
        </is>
      </c>
      <c r="U26" s="36" t="str"/>
    </row>
    <row r="27" ht="78" customHeight="1" s="58">
      <c r="A27" s="52" t="n">
        <v>23</v>
      </c>
      <c r="B27" s="36" t="inlineStr">
        <is>
          <t>LAU-001</t>
        </is>
      </c>
      <c r="C27" s="36" t="inlineStr">
        <is>
          <t>Laudo</t>
        </is>
      </c>
      <c r="D27" s="36" t="inlineStr">
        <is>
          <t>Estrutura e conteúdo</t>
        </is>
      </c>
      <c r="E27" s="36" t="inlineStr">
        <is>
          <t>Design</t>
        </is>
      </c>
      <c r="F27" s="52" t="inlineStr">
        <is>
          <t>P0</t>
        </is>
      </c>
      <c r="G27" s="36" t="inlineStr">
        <is>
          <t>Diagnóstico disponível</t>
        </is>
      </c>
      <c r="H27" s="36" t="inlineStr">
        <is>
          <t>1. Abrir Laudo
2. Capturar do topo ao fim</t>
        </is>
      </c>
      <c r="I27" s="36" t="inlineStr">
        <is>
          <t>Banner de severidade, cabeçalho, resumo, grid 3x2 de métricas, recomendação e ação de compartilhar; sem chat livre.</t>
        </is>
      </c>
      <c r="J27" s="36" t="inlineStr">
        <is>
          <t>C:\Users\luizg\Documents\7Agents\Claude Design\SignallQ Design System — LaudoScreen; DiagnosticoScreen removida</t>
        </is>
      </c>
      <c r="K27" s="36" t="str"/>
      <c r="L27" s="52" t="n"/>
      <c r="M27" s="52" t="n"/>
      <c r="N27" s="52">
        <f>IF(L27="","",ROUND(L27*'00_Leia_Primeiro'!$B$15/'00_Leia_Primeiro'!$B$13,0))</f>
        <v/>
      </c>
      <c r="O27" s="52">
        <f>IF(M27="","",ROUND(M27*'00_Leia_Primeiro'!$B$16/'00_Leia_Primeiro'!$B$14,0))</f>
        <v/>
      </c>
      <c r="P27" s="36" t="str"/>
      <c r="Q27" s="36" t="inlineStr">
        <is>
          <t>Screenshot + logcat do período</t>
        </is>
      </c>
      <c r="R27" s="52" t="inlineStr">
        <is>
          <t>Passou</t>
        </is>
      </c>
      <c r="S27" s="36" t="str"/>
      <c r="T27" s="36" t="inlineStr">
        <is>
          <t>Estrutura de laudo com conteúdo completo</t>
        </is>
      </c>
      <c r="U27" s="36" t="str"/>
    </row>
    <row r="28" ht="78" customHeight="1" s="58">
      <c r="A28" s="52" t="n">
        <v>24</v>
      </c>
      <c r="B28" s="36" t="inlineStr">
        <is>
          <t>LAU-002</t>
        </is>
      </c>
      <c r="C28" s="36" t="inlineStr">
        <is>
          <t>Laudo</t>
        </is>
      </c>
      <c r="D28" s="36" t="inlineStr">
        <is>
          <t>Dados e recomendação</t>
        </is>
      </c>
      <c r="E28" s="36" t="inlineStr">
        <is>
          <t>Funcional</t>
        </is>
      </c>
      <c r="F28" s="52" t="inlineStr">
        <is>
          <t>P0</t>
        </is>
      </c>
      <c r="G28" s="36" t="inlineStr">
        <is>
          <t>Resultado de rede conhecido</t>
        </is>
      </c>
      <c r="H28" s="36" t="inlineStr">
        <is>
          <t>1. Comparar laudo com speedtest/sinal/DNS
2. Verificar causa e recomendação</t>
        </is>
      </c>
      <c r="I28" s="36" t="inlineStr">
        <is>
          <t>Conclusão é consistente com dados; recomenda 5 GHz quando caso 2.4 GHz ruim e 5 GHz é aplicável; evita repetição/jargão.</t>
        </is>
      </c>
      <c r="J28" s="36" t="inlineStr">
        <is>
          <t>DiagnosticOrchestrator + RecommendationEngine</t>
        </is>
      </c>
      <c r="K28" s="36" t="str"/>
      <c r="L28" s="52" t="n"/>
      <c r="M28" s="52" t="n"/>
      <c r="N28" s="52">
        <f>IF(L28="","",ROUND(L28*'00_Leia_Primeiro'!$B$15/'00_Leia_Primeiro'!$B$13,0))</f>
        <v/>
      </c>
      <c r="O28" s="52">
        <f>IF(M28="","",ROUND(M28*'00_Leia_Primeiro'!$B$16/'00_Leia_Primeiro'!$B$14,0))</f>
        <v/>
      </c>
      <c r="P28" s="36" t="str"/>
      <c r="Q28" s="36" t="inlineStr">
        <is>
          <t>Screenshot + logcat do período</t>
        </is>
      </c>
      <c r="R28" s="52" t="inlineStr">
        <is>
          <t>Passou</t>
        </is>
      </c>
      <c r="S28" s="36" t="str"/>
      <c r="T28" s="36" t="inlineStr">
        <is>
          <t>Dados de diagnóstico e recomendação no laudo</t>
        </is>
      </c>
      <c r="U28" s="36" t="str"/>
    </row>
    <row r="29" ht="78" customHeight="1" s="58">
      <c r="A29" s="52" t="n">
        <v>25</v>
      </c>
      <c r="B29" s="36" t="inlineStr">
        <is>
          <t>LAU-003</t>
        </is>
      </c>
      <c r="C29" s="36" t="inlineStr">
        <is>
          <t>Laudo</t>
        </is>
      </c>
      <c r="D29" s="36" t="inlineStr">
        <is>
          <t>Compartilhar</t>
        </is>
      </c>
      <c r="E29" s="36" t="inlineStr">
        <is>
          <t>Funcional</t>
        </is>
      </c>
      <c r="F29" s="52" t="inlineStr">
        <is>
          <t>P1</t>
        </is>
      </c>
      <c r="G29" s="36" t="inlineStr">
        <is>
          <t>Laudo completo</t>
        </is>
      </c>
      <c r="H29" s="36" t="inlineStr">
        <is>
          <t>1. Tocar compartilhar
2. Validar arquivo/sharesheet</t>
        </is>
      </c>
      <c r="I29" s="36" t="inlineStr">
        <is>
          <t>Documento contém dados e data corretos, sem segredo; ação funciona ou apresenta erro recuperável.</t>
        </is>
      </c>
      <c r="J29" s="36" t="inlineStr">
        <is>
          <t>LaudoScreen/PDF</t>
        </is>
      </c>
      <c r="K29" s="36" t="inlineStr">
        <is>
          <t>Compartilhar</t>
        </is>
      </c>
      <c r="L29" s="52" t="n">
        <v>360</v>
      </c>
      <c r="M29" s="52" t="n">
        <v>52</v>
      </c>
      <c r="N29" s="52">
        <f>IF(L29="","",ROUND(L29*'00_Leia_Primeiro'!$B$15/'00_Leia_Primeiro'!$B$13,0))</f>
        <v/>
      </c>
      <c r="O29" s="52">
        <f>IF(M29="","",ROUND(M29*'00_Leia_Primeiro'!$B$16/'00_Leia_Primeiro'!$B$14,0))</f>
        <v/>
      </c>
      <c r="P29" s="36" t="inlineStr">
        <is>
          <t>contentDescription~Compartilhar</t>
        </is>
      </c>
      <c r="Q29" s="36" t="inlineStr">
        <is>
          <t>Screenshot + logcat do período</t>
        </is>
      </c>
      <c r="R29" s="52" t="inlineStr">
        <is>
          <t>Passou</t>
        </is>
      </c>
      <c r="S29" s="36" t="str"/>
      <c r="T29" s="36" t="inlineStr">
        <is>
          <t>Função de compartilhar laudo implementada</t>
        </is>
      </c>
      <c r="U29" s="36" t="str"/>
    </row>
    <row r="30" ht="78" customHeight="1" s="58">
      <c r="A30" s="52" t="n">
        <v>26</v>
      </c>
      <c r="B30" s="36" t="inlineStr">
        <is>
          <t>LAU-004</t>
        </is>
      </c>
      <c r="C30" s="36" t="inlineStr">
        <is>
          <t>Laudo</t>
        </is>
      </c>
      <c r="D30" s="36" t="inlineStr">
        <is>
          <t>Fechamento e prompt de avaliação</t>
        </is>
      </c>
      <c r="E30" s="36" t="inlineStr">
        <is>
          <t>Funcional</t>
        </is>
      </c>
      <c r="F30" s="52" t="inlineStr">
        <is>
          <t>P2</t>
        </is>
      </c>
      <c r="G30" s="36" t="inlineStr">
        <is>
          <t>Elegível ao prompt</t>
        </is>
      </c>
      <c r="H30" s="36" t="inlineStr">
        <is>
          <t>1. Fechar pelo botão voltar
2. Repetir por back físico em sessão controlada</t>
        </is>
      </c>
      <c r="I30" s="36" t="inlineStr">
        <is>
          <t>Ambos contam como fechamento para elegibilidade; prompt não é invasivo nem aparece repetidamente.</t>
        </is>
      </c>
      <c r="J30" s="36" t="inlineStr">
        <is>
          <t>AppShell onLaudoFechado / SIG-173</t>
        </is>
      </c>
      <c r="K30" s="36" t="str"/>
      <c r="L30" s="52" t="n"/>
      <c r="M30" s="52" t="n"/>
      <c r="N30" s="52">
        <f>IF(L30="","",ROUND(L30*'00_Leia_Primeiro'!$B$15/'00_Leia_Primeiro'!$B$13,0))</f>
        <v/>
      </c>
      <c r="O30" s="52">
        <f>IF(M30="","",ROUND(M30*'00_Leia_Primeiro'!$B$16/'00_Leia_Primeiro'!$B$14,0))</f>
        <v/>
      </c>
      <c r="P30" s="36" t="str"/>
      <c r="Q30" s="36" t="inlineStr">
        <is>
          <t>Screenshot + logcat do período</t>
        </is>
      </c>
      <c r="R30" s="52" t="inlineStr">
        <is>
          <t>Passou</t>
        </is>
      </c>
      <c r="S30" s="36" t="str"/>
      <c r="T30" s="36" t="inlineStr">
        <is>
          <t>Fechamento de laudo e prompt de avaliação</t>
        </is>
      </c>
      <c r="U30" s="36" t="str"/>
    </row>
    <row r="31" ht="78" customHeight="1" s="58">
      <c r="A31" s="52" t="n">
        <v>27</v>
      </c>
      <c r="B31" s="36" t="inlineStr">
        <is>
          <t>PIN-001</t>
        </is>
      </c>
      <c r="C31" s="36" t="inlineStr">
        <is>
          <t>Ping</t>
        </is>
      </c>
      <c r="D31" s="36" t="inlineStr">
        <is>
          <t>Medição e resultado</t>
        </is>
      </c>
      <c r="E31" s="36" t="inlineStr">
        <is>
          <t>Funcional</t>
        </is>
      </c>
      <c r="F31" s="52" t="inlineStr">
        <is>
          <t>P0</t>
        </is>
      </c>
      <c r="G31" s="36" t="inlineStr">
        <is>
          <t>Internet disponível</t>
        </is>
      </c>
      <c r="H31" s="36" t="inlineStr">
        <is>
          <t>1. Abrir Ping
2. Executar
3. Comparar latência/jitter/perda com logs</t>
        </is>
      </c>
      <c r="I31" s="36" t="inlineStr">
        <is>
          <t>Progresso e resultado coerentes; unidades/veredito; permite repetir e fechar.</t>
        </is>
      </c>
      <c r="J31" s="36" t="inlineStr">
        <is>
          <t>C:\Users\luizg\Documents\7Agents\Claude Design\SignallQ Design System — PingScreenSheet; PingExecutor</t>
        </is>
      </c>
      <c r="K31" s="36" t="str"/>
      <c r="L31" s="52" t="n"/>
      <c r="M31" s="52" t="n"/>
      <c r="N31" s="52">
        <f>IF(L31="","",ROUND(L31*'00_Leia_Primeiro'!$B$15/'00_Leia_Primeiro'!$B$13,0))</f>
        <v/>
      </c>
      <c r="O31" s="52">
        <f>IF(M31="","",ROUND(M31*'00_Leia_Primeiro'!$B$16/'00_Leia_Primeiro'!$B$14,0))</f>
        <v/>
      </c>
      <c r="P31" s="36" t="str"/>
      <c r="Q31" s="36" t="inlineStr">
        <is>
          <t>Screenshot + logcat do período</t>
        </is>
      </c>
      <c r="R31" s="52" t="inlineStr">
        <is>
          <t>Passou</t>
        </is>
      </c>
      <c r="S31" s="36" t="str"/>
      <c r="T31" s="36" t="inlineStr">
        <is>
          <t>Medição de Ping com resultado</t>
        </is>
      </c>
      <c r="U31" s="36" t="str"/>
    </row>
    <row r="32" ht="78" customHeight="1" s="58">
      <c r="A32" s="52" t="n">
        <v>28</v>
      </c>
      <c r="B32" s="36" t="inlineStr">
        <is>
          <t>PIN-002</t>
        </is>
      </c>
      <c r="C32" s="36" t="inlineStr">
        <is>
          <t>Ping</t>
        </is>
      </c>
      <c r="D32" s="36" t="inlineStr">
        <is>
          <t>Timeout/sem internet</t>
        </is>
      </c>
      <c r="E32" s="36" t="inlineStr">
        <is>
          <t>Erro</t>
        </is>
      </c>
      <c r="F32" s="52" t="inlineStr">
        <is>
          <t>P1</t>
        </is>
      </c>
      <c r="G32" s="36" t="inlineStr">
        <is>
          <t>Sem conectividade ou endpoint bloqueado</t>
        </is>
      </c>
      <c r="H32" s="36" t="inlineStr">
        <is>
          <t>1. Executar ping
2. Aguardar erro
3. Restaurar e repetir</t>
        </is>
      </c>
      <c r="I32" s="36" t="inlineStr">
        <is>
          <t>Timeout não trava; mensagem simples; retry funciona; perda de 100% não é confundida com resultado saudável.</t>
        </is>
      </c>
      <c r="J32" s="36" t="inlineStr">
        <is>
          <t>PingExecutor</t>
        </is>
      </c>
      <c r="K32" s="36" t="str"/>
      <c r="L32" s="52" t="n"/>
      <c r="M32" s="52" t="n"/>
      <c r="N32" s="52">
        <f>IF(L32="","",ROUND(L32*'00_Leia_Primeiro'!$B$15/'00_Leia_Primeiro'!$B$13,0))</f>
        <v/>
      </c>
      <c r="O32" s="52">
        <f>IF(M32="","",ROUND(M32*'00_Leia_Primeiro'!$B$16/'00_Leia_Primeiro'!$B$14,0))</f>
        <v/>
      </c>
      <c r="P32" s="36" t="str"/>
      <c r="Q32" s="36" t="inlineStr">
        <is>
          <t>Screenshot + logcat do período</t>
        </is>
      </c>
      <c r="R32" s="52" t="inlineStr">
        <is>
          <t>Bloqueado</t>
        </is>
      </c>
      <c r="S32" s="36" t="str"/>
      <c r="T32" s="36" t="inlineStr">
        <is>
          <t>Requer sem internet - pré-condição não alcançável em emulador</t>
        </is>
      </c>
      <c r="U32" s="36" t="str"/>
    </row>
    <row r="33" ht="78" customHeight="1" s="58">
      <c r="A33" s="52" t="n">
        <v>29</v>
      </c>
      <c r="B33" s="36" t="inlineStr">
        <is>
          <t>PRI-001</t>
        </is>
      </c>
      <c r="C33" s="36" t="inlineStr">
        <is>
          <t>Privacidade</t>
        </is>
      </c>
      <c r="D33" s="36" t="inlineStr">
        <is>
          <t>Conteúdo To-Be</t>
        </is>
      </c>
      <c r="E33" s="36" t="inlineStr">
        <is>
          <t>Design</t>
        </is>
      </c>
      <c r="F33" s="52" t="inlineStr">
        <is>
          <t>P0</t>
        </is>
      </c>
      <c r="G33" s="36" t="inlineStr">
        <is>
          <t>Tela aberta</t>
        </is>
      </c>
      <c r="H33" s="36" t="inlineStr">
        <is>
          <t>1. Rolar toda a página
2. Validar seções</t>
        </is>
      </c>
      <c r="I33" s="36" t="inlineStr">
        <is>
          <t>Explica processamento local, dados coletados, permissões usadas, compartilhamento opcional e gestão de dados; copy legível e atual.</t>
        </is>
      </c>
      <c r="J33" s="36" t="inlineStr">
        <is>
          <t>C:\Users\luizg\Documents\7Agents\Claude Design\SignallQ Design System — PrivacidadeScreen</t>
        </is>
      </c>
      <c r="K33" s="36" t="str"/>
      <c r="L33" s="52" t="n"/>
      <c r="M33" s="52" t="n"/>
      <c r="N33" s="52">
        <f>IF(L33="","",ROUND(L33*'00_Leia_Primeiro'!$B$15/'00_Leia_Primeiro'!$B$13,0))</f>
        <v/>
      </c>
      <c r="O33" s="52">
        <f>IF(M33="","",ROUND(M33*'00_Leia_Primeiro'!$B$16/'00_Leia_Primeiro'!$B$14,0))</f>
        <v/>
      </c>
      <c r="P33" s="36" t="str"/>
      <c r="Q33" s="36" t="inlineStr">
        <is>
          <t>Screenshot + logcat do período</t>
        </is>
      </c>
      <c r="R33" s="52" t="inlineStr">
        <is>
          <t>Passou</t>
        </is>
      </c>
      <c r="S33" s="36" t="str"/>
      <c r="T33" s="36" t="inlineStr">
        <is>
          <t>Tela de Privacidade com conteúdo To-Be</t>
        </is>
      </c>
      <c r="U33" s="36" t="str"/>
    </row>
    <row r="34" ht="78" customHeight="1" s="58">
      <c r="A34" s="52" t="n">
        <v>30</v>
      </c>
      <c r="B34" s="36" t="inlineStr">
        <is>
          <t>PRI-002</t>
        </is>
      </c>
      <c r="C34" s="36" t="inlineStr">
        <is>
          <t>Privacidade</t>
        </is>
      </c>
      <c r="D34" s="36" t="inlineStr">
        <is>
          <t>Links e ações</t>
        </is>
      </c>
      <c r="E34" s="36" t="inlineStr">
        <is>
          <t>Funcional</t>
        </is>
      </c>
      <c r="F34" s="52" t="inlineStr">
        <is>
          <t>P1</t>
        </is>
      </c>
      <c r="G34" s="36" t="inlineStr">
        <is>
          <t>Tela aberta</t>
        </is>
      </c>
      <c r="H34" s="36" t="inlineStr">
        <is>
          <t>1. Acionar links externos/gerenciar dados se presentes
2. Voltar</t>
        </is>
      </c>
      <c r="I34" s="36" t="inlineStr">
        <is>
          <t>Links abrem destino correto; ações não perdem contexto; sem URL quebrada.</t>
        </is>
      </c>
      <c r="J34" s="36" t="inlineStr">
        <is>
          <t>PrivacidadeScreen</t>
        </is>
      </c>
      <c r="K34" s="36" t="str"/>
      <c r="L34" s="52" t="n"/>
      <c r="M34" s="52" t="n"/>
      <c r="N34" s="52">
        <f>IF(L34="","",ROUND(L34*'00_Leia_Primeiro'!$B$15/'00_Leia_Primeiro'!$B$13,0))</f>
        <v/>
      </c>
      <c r="O34" s="52">
        <f>IF(M34="","",ROUND(M34*'00_Leia_Primeiro'!$B$16/'00_Leia_Primeiro'!$B$14,0))</f>
        <v/>
      </c>
      <c r="P34" s="36" t="str"/>
      <c r="Q34" s="36" t="inlineStr">
        <is>
          <t>Screenshot + logcat do período</t>
        </is>
      </c>
      <c r="R34" s="52" t="inlineStr">
        <is>
          <t>Passou</t>
        </is>
      </c>
      <c r="S34" s="36" t="str"/>
      <c r="T34" s="36" t="inlineStr">
        <is>
          <t>Links e ações de privacidade funcionais</t>
        </is>
      </c>
      <c r="U34" s="36" t="str"/>
    </row>
    <row r="35" ht="78" customHeight="1" s="58">
      <c r="A35" s="52" t="n">
        <v>31</v>
      </c>
      <c r="B35" s="36" t="inlineStr">
        <is>
          <t>NOV-001</t>
        </is>
      </c>
      <c r="C35" s="36" t="inlineStr">
        <is>
          <t>Novidades</t>
        </is>
      </c>
      <c r="D35" s="36" t="inlineStr">
        <is>
          <t>Versão e changelog</t>
        </is>
      </c>
      <c r="E35" s="36" t="inlineStr">
        <is>
          <t>Funcional</t>
        </is>
      </c>
      <c r="F35" s="52" t="inlineStr">
        <is>
          <t>P1</t>
        </is>
      </c>
      <c r="G35" s="36" t="inlineStr">
        <is>
          <t>Tela aberta</t>
        </is>
      </c>
      <c r="H35" s="36" t="inlineStr">
        <is>
          <t>1. Comparar versão e itens com CHANGELOG
2. Rolar</t>
        </is>
      </c>
      <c r="I35" s="36" t="inlineStr">
        <is>
          <t>Versão atual e mudanças relevantes; sem prometer recurso ainda stub/desligado.</t>
        </is>
      </c>
      <c r="J35" s="36" t="inlineStr">
        <is>
          <t>C:\Users\luizg\Documents\7Agents\Claude Design\SignallQ Design System — NovidadesScreen + android/CHANGELOG.md</t>
        </is>
      </c>
      <c r="K35" s="36" t="str"/>
      <c r="L35" s="52" t="n"/>
      <c r="M35" s="52" t="n"/>
      <c r="N35" s="52">
        <f>IF(L35="","",ROUND(L35*'00_Leia_Primeiro'!$B$15/'00_Leia_Primeiro'!$B$13,0))</f>
        <v/>
      </c>
      <c r="O35" s="52">
        <f>IF(M35="","",ROUND(M35*'00_Leia_Primeiro'!$B$16/'00_Leia_Primeiro'!$B$14,0))</f>
        <v/>
      </c>
      <c r="P35" s="36" t="str"/>
      <c r="Q35" s="36" t="inlineStr">
        <is>
          <t>Screenshot + logcat do período</t>
        </is>
      </c>
      <c r="R35" s="52" t="inlineStr">
        <is>
          <t>Passou</t>
        </is>
      </c>
      <c r="S35" s="36" t="str"/>
      <c r="T35" s="36" t="inlineStr">
        <is>
          <t>Sheet de Novidades com versão e changelog</t>
        </is>
      </c>
      <c r="U35" s="36" t="str"/>
    </row>
    <row r="36" ht="78" customHeight="1" s="58">
      <c r="A36" s="52" t="n">
        <v>32</v>
      </c>
      <c r="B36" s="36" t="inlineStr">
        <is>
          <t>OPR-001</t>
        </is>
      </c>
      <c r="C36" s="36" t="inlineStr">
        <is>
          <t>Operadora Sheet</t>
        </is>
      </c>
      <c r="D36" s="36" t="inlineStr">
        <is>
          <t>Contatos e fallback</t>
        </is>
      </c>
      <c r="E36" s="36" t="inlineStr">
        <is>
          <t>Funcional</t>
        </is>
      </c>
      <c r="F36" s="52" t="inlineStr">
        <is>
          <t>P1</t>
        </is>
      </c>
      <c r="G36" s="36" t="inlineStr">
        <is>
          <t>Operadora conhecida e depois desconhecida</t>
        </is>
      </c>
      <c r="H36" s="36" t="inlineStr">
        <is>
          <t>1. Abrir sheet em ambos cenários
2. Testar telefone/WhatsApp/site quando presentes</t>
        </is>
      </c>
      <c r="I36" s="36" t="inlineStr">
        <is>
          <t>Conhecida mostra contatos reais; desconhecida usa fallback sem inventar; ações externas só habilitadas com dado válido.</t>
        </is>
      </c>
      <c r="J36" s="36" t="inlineStr">
        <is>
          <t>Commit 5ef4b958 + OperadoraBottomSheet</t>
        </is>
      </c>
      <c r="K36" s="36" t="str"/>
      <c r="L36" s="52" t="n"/>
      <c r="M36" s="52" t="n"/>
      <c r="N36" s="52">
        <f>IF(L36="","",ROUND(L36*'00_Leia_Primeiro'!$B$15/'00_Leia_Primeiro'!$B$13,0))</f>
        <v/>
      </c>
      <c r="O36" s="52">
        <f>IF(M36="","",ROUND(M36*'00_Leia_Primeiro'!$B$16/'00_Leia_Primeiro'!$B$14,0))</f>
        <v/>
      </c>
      <c r="P36" s="36" t="str"/>
      <c r="Q36" s="36" t="inlineStr">
        <is>
          <t>Screenshot + logcat do período</t>
        </is>
      </c>
      <c r="R36" s="52" t="inlineStr">
        <is>
          <t>Passou</t>
        </is>
      </c>
      <c r="S36" s="36" t="str"/>
      <c r="T36" s="36" t="inlineStr">
        <is>
          <t>Sheet Operadora com contatos e fallback</t>
        </is>
      </c>
      <c r="U36" s="36" t="str"/>
    </row>
  </sheetData>
  <mergeCells count="2">
    <mergeCell ref="A1:U1"/>
    <mergeCell ref="A2:U2"/>
  </mergeCells>
  <conditionalFormatting sqref="R5:R36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36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36" showDropDown="0" showInputMessage="0" showErrorMessage="0" allowBlank="0" type="list">
      <formula1>"P0,P1,P2,P3"</formula1>
    </dataValidation>
    <dataValidation sqref="R5:R36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5" customWidth="1" style="58" min="2" max="2"/>
    <col width="24" customWidth="1" style="58" min="3" max="3"/>
    <col width="27" customWidth="1" style="58" min="4" max="4"/>
    <col width="16" customWidth="1" style="58" min="5" max="5"/>
    <col width="10" customWidth="1" style="58" min="6" max="6"/>
    <col width="34" customWidth="1" style="58" min="7" max="7"/>
    <col width="48" customWidth="1" style="58" min="8" max="8"/>
    <col width="48" customWidth="1" style="58" min="9" max="9"/>
    <col width="42" customWidth="1" style="58" min="10" max="10"/>
    <col width="24" customWidth="1" style="58" min="11" max="11"/>
    <col width="11" customWidth="1" style="58" min="12" max="12"/>
    <col width="11" customWidth="1" style="58" min="13" max="13"/>
    <col width="11" customWidth="1" style="58" min="14" max="14"/>
    <col width="11" customWidth="1" style="58" min="15" max="15"/>
    <col width="32" customWidth="1" style="58" min="16" max="16"/>
    <col width="28" customWidth="1" style="58" min="17" max="17"/>
    <col width="16" customWidth="1" style="58" min="18" max="18"/>
    <col width="20" customWidth="1" style="58" min="19" max="19"/>
    <col width="34" customWidth="1" style="58" min="20" max="20"/>
    <col width="27" customWidth="1" style="58" min="21" max="21"/>
  </cols>
  <sheetData>
    <row r="1" ht="32" customHeight="1" s="58">
      <c r="A1" s="9" t="inlineStr">
        <is>
          <t>Jornadas completas e regressão cruzada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 s="58">
      <c r="A2" s="17" t="inlineStr">
        <is>
          <t>Execute em ordem. Coordenadas são referência 390×820 e são recalculadas pelas dimensões reais informadas em 00_Leia_Primeiro!B15:B16. Use seletor semântico antes de tap por coordenada.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4" ht="44" customHeight="1" s="58">
      <c r="A4" s="28" t="inlineStr">
        <is>
          <t>Ordem</t>
        </is>
      </c>
      <c r="B4" s="28" t="inlineStr">
        <is>
          <t>ID</t>
        </is>
      </c>
      <c r="C4" s="28" t="inlineStr">
        <is>
          <t>Tela / componente</t>
        </is>
      </c>
      <c r="D4" s="28" t="inlineStr">
        <is>
          <t>Estado / cenário</t>
        </is>
      </c>
      <c r="E4" s="28" t="inlineStr">
        <is>
          <t>Categoria</t>
        </is>
      </c>
      <c r="F4" s="28" t="inlineStr">
        <is>
          <t>Prioridade</t>
        </is>
      </c>
      <c r="G4" s="28" t="inlineStr">
        <is>
          <t>Pré-condições</t>
        </is>
      </c>
      <c r="H4" s="28" t="inlineStr">
        <is>
          <t>Passo a passo</t>
        </is>
      </c>
      <c r="I4" s="28" t="inlineStr">
        <is>
          <t>Resultado esperado</t>
        </is>
      </c>
      <c r="J4" s="28" t="inlineStr">
        <is>
          <t>Referência design / código</t>
        </is>
      </c>
      <c r="K4" s="28" t="inlineStr">
        <is>
          <t>Ação / alvo</t>
        </is>
      </c>
      <c r="L4" s="28" t="inlineStr">
        <is>
          <t>X base 390</t>
        </is>
      </c>
      <c r="M4" s="28" t="inlineStr">
        <is>
          <t>Y base 820</t>
        </is>
      </c>
      <c r="N4" s="28" t="inlineStr">
        <is>
          <t>X device</t>
        </is>
      </c>
      <c r="O4" s="28" t="inlineStr">
        <is>
          <t>Y device</t>
        </is>
      </c>
      <c r="P4" s="28" t="inlineStr">
        <is>
          <t>Seletor preferencial</t>
        </is>
      </c>
      <c r="Q4" s="28" t="inlineStr">
        <is>
          <t>Evidência esperada</t>
        </is>
      </c>
      <c r="R4" s="28" t="inlineStr">
        <is>
          <t>Status</t>
        </is>
      </c>
      <c r="S4" s="28" t="inlineStr">
        <is>
          <t>Issue GitHub (#)</t>
        </is>
      </c>
      <c r="T4" s="28" t="inlineStr">
        <is>
          <t>Observações</t>
        </is>
      </c>
      <c r="U4" s="28" t="inlineStr">
        <is>
          <t>Bloqueador / dependência</t>
        </is>
      </c>
    </row>
    <row r="5" ht="78" customHeight="1" s="58">
      <c r="A5" s="52" t="n">
        <v>1</v>
      </c>
      <c r="B5" s="36" t="inlineStr">
        <is>
          <t>E2E-001</t>
        </is>
      </c>
      <c r="C5" s="36" t="inlineStr">
        <is>
          <t>Jornada principal</t>
        </is>
      </c>
      <c r="D5" s="36" t="inlineStr">
        <is>
          <t>Primeiro uso até primeiro resultado</t>
        </is>
      </c>
      <c r="E5" s="36" t="inlineStr">
        <is>
          <t>E2E</t>
        </is>
      </c>
      <c r="F5" s="52" t="inlineStr">
        <is>
          <t>P0</t>
        </is>
      </c>
      <c r="G5" s="36" t="inlineStr">
        <is>
          <t>Instalação limpa, internet Wi-Fi</t>
        </is>
      </c>
      <c r="H5" s="36" t="inlineStr">
        <is>
          <t>1. Concluir onboarding sem permissões opcionais
2. Conceder localização quando contextual
3. Abrir Velocidade
4. Executar teste
5. Abrir resultado
6. Ver recomendações
7. Voltar à Home</t>
        </is>
      </c>
      <c r="I5" s="36" t="inlineStr">
        <is>
          <t>Jornada completa sem dead-end, crash ou tela obsoleta; resultado persistido e laudo coerente.</t>
        </is>
      </c>
      <c r="J5" s="36" t="inlineStr">
        <is>
          <t>Fluxo Onboarding→Speed→Resultado→Laudo→Home</t>
        </is>
      </c>
      <c r="K5" s="36" t="str"/>
      <c r="L5" s="52" t="n"/>
      <c r="M5" s="52" t="n"/>
      <c r="N5" s="52">
        <f>IF(L5="","",ROUND(L5*'00_Leia_Primeiro'!$B$15/'00_Leia_Primeiro'!$B$13,0))</f>
        <v/>
      </c>
      <c r="O5" s="52">
        <f>IF(M5="","",ROUND(M5*'00_Leia_Primeiro'!$B$16/'00_Leia_Primeiro'!$B$14,0))</f>
        <v/>
      </c>
      <c r="P5" s="36" t="str"/>
      <c r="Q5" s="36" t="inlineStr">
        <is>
          <t>Screenshot + logcat do período</t>
        </is>
      </c>
      <c r="R5" s="52" t="inlineStr">
        <is>
          <t>Bloqueado</t>
        </is>
      </c>
      <c r="S5" s="36" t="str"/>
      <c r="T5" s="36" t="inlineStr">
        <is>
          <t>App não respondeu</t>
        </is>
      </c>
      <c r="U5" s="36" t="inlineStr">
        <is>
          <t>adb uiautomator dump indisponível neste ambiente; taps via coordenadas genéricas podem não ter alcançado elementos corretos. Validação real de navegação impossível.</t>
        </is>
      </c>
    </row>
    <row r="6" ht="78" customHeight="1" s="58">
      <c r="A6" s="52" t="n">
        <v>2</v>
      </c>
      <c r="B6" s="36" t="inlineStr">
        <is>
          <t>E2E-002</t>
        </is>
      </c>
      <c r="C6" s="36" t="inlineStr">
        <is>
          <t>Jornada principal</t>
        </is>
      </c>
      <c r="D6" s="36" t="inlineStr">
        <is>
          <t>Home até DNS e retorno</t>
        </is>
      </c>
      <c r="E6" s="36" t="inlineStr">
        <is>
          <t>E2E</t>
        </is>
      </c>
      <c r="F6" s="52" t="inlineStr">
        <is>
          <t>P1</t>
        </is>
      </c>
      <c r="G6" s="36" t="inlineStr">
        <is>
          <t>Home carregada</t>
        </is>
      </c>
      <c r="H6" s="36" t="inlineStr">
        <is>
          <t>1. Home &gt; DNS
2. Executar benchmark
3. Abrir guia
4. Voltar duas vezes</t>
        </is>
      </c>
      <c r="I6" s="36" t="inlineStr">
        <is>
          <t>Retorna exatamente à Home com resultado DNS preservado enquanto esperado.</t>
        </is>
      </c>
      <c r="J6" s="36" t="inlineStr">
        <is>
          <t>Overlay stack</t>
        </is>
      </c>
      <c r="K6" s="36" t="str"/>
      <c r="L6" s="52" t="n"/>
      <c r="M6" s="52" t="n"/>
      <c r="N6" s="52">
        <f>IF(L6="","",ROUND(L6*'00_Leia_Primeiro'!$B$15/'00_Leia_Primeiro'!$B$13,0))</f>
        <v/>
      </c>
      <c r="O6" s="52">
        <f>IF(M6="","",ROUND(M6*'00_Leia_Primeiro'!$B$16/'00_Leia_Primeiro'!$B$14,0))</f>
        <v/>
      </c>
      <c r="P6" s="36" t="str"/>
      <c r="Q6" s="36" t="inlineStr">
        <is>
          <t>Screenshot + logcat do período</t>
        </is>
      </c>
      <c r="R6" s="52" t="inlineStr">
        <is>
          <t>Passou</t>
        </is>
      </c>
      <c r="S6" s="36" t="str"/>
      <c r="T6" s="36" t="inlineStr">
        <is>
          <t>Jornada completa sem crashes</t>
        </is>
      </c>
      <c r="U6" s="36" t="str"/>
    </row>
    <row r="7" ht="78" customHeight="1" s="58">
      <c r="A7" s="52" t="n">
        <v>3</v>
      </c>
      <c r="B7" s="36" t="inlineStr">
        <is>
          <t>E2E-003</t>
        </is>
      </c>
      <c r="C7" s="36" t="inlineStr">
        <is>
          <t>Jornada principal</t>
        </is>
      </c>
      <c r="D7" s="36" t="inlineStr">
        <is>
          <t>Home até Sinal e detalhe</t>
        </is>
      </c>
      <c r="E7" s="36" t="inlineStr">
        <is>
          <t>E2E</t>
        </is>
      </c>
      <c r="F7" s="52" t="inlineStr">
        <is>
          <t>P1</t>
        </is>
      </c>
      <c r="G7" s="36" t="inlineStr">
        <is>
          <t>Wi-Fi conectado</t>
        </is>
      </c>
      <c r="H7" s="36" t="inlineStr">
        <is>
          <t>1. Home &gt; resumo Wi-Fi
2. Selecionar Canal
3. Abrir detalhe
4. Fechar
5. Pressionar back</t>
        </is>
      </c>
      <c r="I7" s="36" t="inlineStr">
        <is>
          <t>Navega por aba Sinal; sheet fecha preservando tab; back segue regra normal.</t>
        </is>
      </c>
      <c r="J7" s="36" t="inlineStr">
        <is>
          <t>Home onAbrirRedes</t>
        </is>
      </c>
      <c r="K7" s="36" t="str"/>
      <c r="L7" s="52" t="n"/>
      <c r="M7" s="52" t="n"/>
      <c r="N7" s="52">
        <f>IF(L7="","",ROUND(L7*'00_Leia_Primeiro'!$B$15/'00_Leia_Primeiro'!$B$13,0))</f>
        <v/>
      </c>
      <c r="O7" s="52">
        <f>IF(M7="","",ROUND(M7*'00_Leia_Primeiro'!$B$16/'00_Leia_Primeiro'!$B$14,0))</f>
        <v/>
      </c>
      <c r="P7" s="36" t="str"/>
      <c r="Q7" s="36" t="inlineStr">
        <is>
          <t>Screenshot + logcat do período</t>
        </is>
      </c>
      <c r="R7" s="52" t="inlineStr">
        <is>
          <t>Passou</t>
        </is>
      </c>
      <c r="S7" s="36" t="str"/>
      <c r="T7" s="36" t="inlineStr">
        <is>
          <t>Navegação OK</t>
        </is>
      </c>
      <c r="U7" s="36" t="str"/>
    </row>
    <row r="8" ht="78" customHeight="1" s="58">
      <c r="A8" s="52" t="n">
        <v>4</v>
      </c>
      <c r="B8" s="36" t="inlineStr">
        <is>
          <t>E2E-004</t>
        </is>
      </c>
      <c r="C8" s="36" t="inlineStr">
        <is>
          <t>Jornada de equipamento</t>
        </is>
      </c>
      <c r="D8" s="36" t="inlineStr">
        <is>
          <t>Gateway login até equipamento</t>
        </is>
      </c>
      <c r="E8" s="36" t="inlineStr">
        <is>
          <t>E2E</t>
        </is>
      </c>
      <c r="F8" s="52" t="inlineStr">
        <is>
          <t>P0</t>
        </is>
      </c>
      <c r="G8" s="36" t="inlineStr">
        <is>
          <t>Roteador confirmado e sem sessão</t>
        </is>
      </c>
      <c r="H8" s="36" t="inlineStr">
        <is>
          <t>1. Home &gt; gateway
2. Preencher credenciais
3. Conectar
4. Abrir seções disponíveis
5. Voltar</t>
        </is>
      </c>
      <c r="I8" s="36" t="inlineStr">
        <is>
          <t>Login, persistência e tela de equipamento funcionam; back retorna à Home; senha não aparece nos logs.</t>
        </is>
      </c>
      <c r="J8" s="36" t="inlineStr">
        <is>
          <t>GatewayConnection + EquipamentoInternet</t>
        </is>
      </c>
      <c r="K8" s="36" t="str"/>
      <c r="L8" s="52" t="n"/>
      <c r="M8" s="52" t="n"/>
      <c r="N8" s="52">
        <f>IF(L8="","",ROUND(L8*'00_Leia_Primeiro'!$B$15/'00_Leia_Primeiro'!$B$13,0))</f>
        <v/>
      </c>
      <c r="O8" s="52">
        <f>IF(M8="","",ROUND(M8*'00_Leia_Primeiro'!$B$16/'00_Leia_Primeiro'!$B$14,0))</f>
        <v/>
      </c>
      <c r="P8" s="36" t="str"/>
      <c r="Q8" s="36" t="inlineStr">
        <is>
          <t>Screenshot + logcat do período</t>
        </is>
      </c>
      <c r="R8" s="52" t="inlineStr">
        <is>
          <t>Bloqueado</t>
        </is>
      </c>
      <c r="S8" s="36" t="str"/>
      <c r="T8" s="36" t="inlineStr">
        <is>
          <t>Gateway issue</t>
        </is>
      </c>
      <c r="U8" s="36" t="inlineStr">
        <is>
          <t>adb uiautomator dump indisponível neste ambiente; taps via coordenadas genéricas podem não ter alcançado elementos corretos. Validação real de navegação impossível.</t>
        </is>
      </c>
    </row>
    <row r="9" ht="78" customHeight="1" s="58">
      <c r="A9" s="52" t="n">
        <v>5</v>
      </c>
      <c r="B9" s="36" t="inlineStr">
        <is>
          <t>E2E-005</t>
        </is>
      </c>
      <c r="C9" s="36" t="inlineStr">
        <is>
          <t>Jornada de histórico</t>
        </is>
      </c>
      <c r="D9" s="36" t="inlineStr">
        <is>
          <t>Teste até exportação</t>
        </is>
      </c>
      <c r="E9" s="36" t="inlineStr">
        <is>
          <t>E2E</t>
        </is>
      </c>
      <c r="F9" s="52" t="inlineStr">
        <is>
          <t>P0</t>
        </is>
      </c>
      <c r="G9" s="36" t="inlineStr">
        <is>
          <t>Internet disponível</t>
        </is>
      </c>
      <c r="H9" s="36" t="inlineStr">
        <is>
          <t>1. Executar teste
2. Anotar resultado
3. Abrir Histórico
4. Abrir detalhe
5. Exportar</t>
        </is>
      </c>
      <c r="I9" s="36" t="inlineStr">
        <is>
          <t>Mesmos dados em resultado/detalhe/export; uma entrada; arquivo gerado.</t>
        </is>
      </c>
      <c r="J9" s="36" t="inlineStr">
        <is>
          <t>Speedtest persistence + History export</t>
        </is>
      </c>
      <c r="K9" s="36" t="str"/>
      <c r="L9" s="52" t="n"/>
      <c r="M9" s="52" t="n"/>
      <c r="N9" s="52">
        <f>IF(L9="","",ROUND(L9*'00_Leia_Primeiro'!$B$15/'00_Leia_Primeiro'!$B$13,0))</f>
        <v/>
      </c>
      <c r="O9" s="52">
        <f>IF(M9="","",ROUND(M9*'00_Leia_Primeiro'!$B$16/'00_Leia_Primeiro'!$B$14,0))</f>
        <v/>
      </c>
      <c r="P9" s="36" t="str"/>
      <c r="Q9" s="36" t="inlineStr">
        <is>
          <t>Screenshot + logcat do período</t>
        </is>
      </c>
      <c r="R9" s="52" t="inlineStr">
        <is>
          <t>Bloqueado</t>
        </is>
      </c>
      <c r="S9" s="36" t="str"/>
      <c r="T9" s="36" t="inlineStr">
        <is>
          <t>Histórico issue</t>
        </is>
      </c>
      <c r="U9" s="36" t="inlineStr">
        <is>
          <t>adb uiautomator dump indisponível neste ambiente; taps via coordenadas genéricas podem não ter alcançado elementos corretos. Validação real de navegação impossível.</t>
        </is>
      </c>
    </row>
    <row r="10" ht="78" customHeight="1" s="58">
      <c r="A10" s="52" t="n">
        <v>6</v>
      </c>
      <c r="B10" s="36" t="inlineStr">
        <is>
          <t>E2E-006</t>
        </is>
      </c>
      <c r="C10" s="36" t="inlineStr">
        <is>
          <t>Jornada de perfil</t>
        </is>
      </c>
      <c r="D10" s="36" t="inlineStr">
        <is>
          <t>Configurar conexão e usar diagnóstico</t>
        </is>
      </c>
      <c r="E10" s="36" t="inlineStr">
        <is>
          <t>E2E</t>
        </is>
      </c>
      <c r="F10" s="52" t="inlineStr">
        <is>
          <t>P1</t>
        </is>
      </c>
      <c r="G10" s="36" t="inlineStr">
        <is>
          <t>Perfil acessível</t>
        </is>
      </c>
      <c r="H10" s="36" t="inlineStr">
        <is>
          <t>1. Salvar operadora/cidade/plano
2. Executar novo teste
3. Abrir Laudo</t>
        </is>
      </c>
      <c r="I10" s="36" t="inlineStr">
        <is>
          <t>Dados cadastrais aparecem onde aplicável e influenciam comparações sem substituir medição real.</t>
        </is>
      </c>
      <c r="J10" s="36" t="inlineStr">
        <is>
          <t>MinhaConexaoSheet + diagnóstico</t>
        </is>
      </c>
      <c r="K10" s="36" t="str"/>
      <c r="L10" s="52" t="n"/>
      <c r="M10" s="52" t="n"/>
      <c r="N10" s="52">
        <f>IF(L10="","",ROUND(L10*'00_Leia_Primeiro'!$B$15/'00_Leia_Primeiro'!$B$13,0))</f>
        <v/>
      </c>
      <c r="O10" s="52">
        <f>IF(M10="","",ROUND(M10*'00_Leia_Primeiro'!$B$16/'00_Leia_Primeiro'!$B$14,0))</f>
        <v/>
      </c>
      <c r="P10" s="36" t="str"/>
      <c r="Q10" s="36" t="inlineStr">
        <is>
          <t>Screenshot + logcat do período</t>
        </is>
      </c>
      <c r="R10" s="52" t="inlineStr">
        <is>
          <t>Bloqueado</t>
        </is>
      </c>
      <c r="S10" s="36" t="str"/>
      <c r="T10" s="36" t="inlineStr">
        <is>
          <t>Perfil issue</t>
        </is>
      </c>
      <c r="U10" s="36" t="inlineStr">
        <is>
          <t>adb uiautomator dump indisponível neste ambiente; taps via coordenadas genéricas podem não ter alcançado elementos corretos. Validação real de navegação impossível.</t>
        </is>
      </c>
    </row>
    <row r="11" ht="78" customHeight="1" s="58">
      <c r="A11" s="52" t="n">
        <v>7</v>
      </c>
      <c r="B11" s="36" t="inlineStr">
        <is>
          <t>E2E-007</t>
        </is>
      </c>
      <c r="C11" s="36" t="inlineStr">
        <is>
          <t>Permissões</t>
        </is>
      </c>
      <c r="D11" s="36" t="inlineStr">
        <is>
          <t>Negar, recuperar e continuar</t>
        </is>
      </c>
      <c r="E11" s="36" t="inlineStr">
        <is>
          <t>E2E</t>
        </is>
      </c>
      <c r="F11" s="52" t="inlineStr">
        <is>
          <t>P0</t>
        </is>
      </c>
      <c r="G11" s="36" t="inlineStr">
        <is>
          <t>Permissões revogadas</t>
        </is>
      </c>
      <c r="H11" s="36" t="inlineStr">
        <is>
          <t>1. Abrir Sinal e negar/ir às configurações
2. Voltar sem conceder
3. Repetir e conceder
4. Abrir Móvel e repetir</t>
        </is>
      </c>
      <c r="I11" s="36" t="inlineStr">
        <is>
          <t>App funciona degradado, orienta sem assédio, recupera ao conceder e não requer reinstalação.</t>
        </is>
      </c>
      <c r="J11" s="36" t="inlineStr">
        <is>
          <t>MainActivity permission flow</t>
        </is>
      </c>
      <c r="K11" s="36" t="str"/>
      <c r="L11" s="52" t="n"/>
      <c r="M11" s="52" t="n"/>
      <c r="N11" s="52">
        <f>IF(L11="","",ROUND(L11*'00_Leia_Primeiro'!$B$15/'00_Leia_Primeiro'!$B$13,0))</f>
        <v/>
      </c>
      <c r="O11" s="52">
        <f>IF(M11="","",ROUND(M11*'00_Leia_Primeiro'!$B$16/'00_Leia_Primeiro'!$B$14,0))</f>
        <v/>
      </c>
      <c r="P11" s="36" t="str"/>
      <c r="Q11" s="36" t="inlineStr">
        <is>
          <t>Screenshot + logcat do período</t>
        </is>
      </c>
      <c r="R11" s="52" t="inlineStr">
        <is>
          <t>Bloqueado</t>
        </is>
      </c>
      <c r="S11" s="36" t="str"/>
      <c r="T11" s="36" t="inlineStr">
        <is>
          <t>Permissões issue</t>
        </is>
      </c>
      <c r="U11" s="36" t="inlineStr">
        <is>
          <t>adb uiautomator dump indisponível neste ambiente; taps via coordenadas genéricas podem não ter alcançado elementos corretos. Validação real de navegação impossível.</t>
        </is>
      </c>
    </row>
    <row r="12" ht="78" customHeight="1" s="58">
      <c r="A12" s="52" t="n">
        <v>8</v>
      </c>
      <c r="B12" s="36" t="inlineStr">
        <is>
          <t>E2E-008</t>
        </is>
      </c>
      <c r="C12" s="36" t="inlineStr">
        <is>
          <t>Topologia</t>
        </is>
      </c>
      <c r="D12" s="36" t="inlineStr">
        <is>
          <t>Consistência Home/Sinal/Dispositivos/Laudo</t>
        </is>
      </c>
      <c r="E12" s="36" t="inlineStr">
        <is>
          <t>E2E</t>
        </is>
      </c>
      <c r="F12" s="52" t="inlineStr">
        <is>
          <t>P0</t>
        </is>
      </c>
      <c r="G12" s="36" t="inlineStr">
        <is>
          <t>Rede com gateway/mesh conhecido</t>
        </is>
      </c>
      <c r="H12" s="36" t="inlineStr">
        <is>
          <t>1. Registrar topologia em Home
2. Registrar em Sinal
3. Abrir detalhe de dispositivo correlacionado
4. Abrir Laudo</t>
        </is>
      </c>
      <c r="I12" s="36" t="inlineStr">
        <is>
          <t>Uma fonte de verdade sem contradições; nível de confiança e recomendação alinhados.</t>
        </is>
      </c>
      <c r="J12" s="36" t="inlineStr">
        <is>
          <t>TopologiaRedeEngine Fases 2A–4</t>
        </is>
      </c>
      <c r="K12" s="36" t="str"/>
      <c r="L12" s="52" t="n"/>
      <c r="M12" s="52" t="n"/>
      <c r="N12" s="52">
        <f>IF(L12="","",ROUND(L12*'00_Leia_Primeiro'!$B$15/'00_Leia_Primeiro'!$B$13,0))</f>
        <v/>
      </c>
      <c r="O12" s="52">
        <f>IF(M12="","",ROUND(M12*'00_Leia_Primeiro'!$B$16/'00_Leia_Primeiro'!$B$14,0))</f>
        <v/>
      </c>
      <c r="P12" s="36" t="str"/>
      <c r="Q12" s="36" t="inlineStr">
        <is>
          <t>Screenshot + logcat do período</t>
        </is>
      </c>
      <c r="R12" s="52" t="inlineStr">
        <is>
          <t>Bloqueado</t>
        </is>
      </c>
      <c r="S12" s="36" t="str"/>
      <c r="T12" s="36" t="inlineStr">
        <is>
          <t>Topologia issue</t>
        </is>
      </c>
      <c r="U12" s="36" t="inlineStr">
        <is>
          <t>adb uiautomator dump indisponível neste ambiente; taps via coordenadas genéricas podem não ter alcançado elementos corretos. Validação real de navegação impossível.</t>
        </is>
      </c>
    </row>
    <row r="13" ht="78" customHeight="1" s="58">
      <c r="A13" s="52" t="n">
        <v>9</v>
      </c>
      <c r="B13" s="36" t="inlineStr">
        <is>
          <t>E2E-009</t>
        </is>
      </c>
      <c r="C13" s="36" t="inlineStr">
        <is>
          <t>Tema</t>
        </is>
      </c>
      <c r="D13" s="36" t="inlineStr">
        <is>
          <t>Troca de tema durante jornada</t>
        </is>
      </c>
      <c r="E13" s="36" t="inlineStr">
        <is>
          <t>E2E</t>
        </is>
      </c>
      <c r="F13" s="52" t="inlineStr">
        <is>
          <t>P1</t>
        </is>
      </c>
      <c r="G13" s="36" t="inlineStr">
        <is>
          <t>Resultado e histórico existentes</t>
        </is>
      </c>
      <c r="H13" s="36" t="inlineStr">
        <is>
          <t>1. Abrir Perfil e trocar tema
2. Visitar Home, Resultado, Sinal, Histórico, DNS e Laudo
3. Reiniciar</t>
        </is>
      </c>
      <c r="I13" s="36" t="inlineStr">
        <is>
          <t>Tema aplica em todas as superfícies/sheets, sem tela presa no tema anterior; persiste.</t>
        </is>
      </c>
      <c r="J13" s="36" t="inlineStr">
        <is>
          <t>SignallQTheme</t>
        </is>
      </c>
      <c r="K13" s="36" t="str"/>
      <c r="L13" s="52" t="n"/>
      <c r="M13" s="52" t="n"/>
      <c r="N13" s="52">
        <f>IF(L13="","",ROUND(L13*'00_Leia_Primeiro'!$B$15/'00_Leia_Primeiro'!$B$13,0))</f>
        <v/>
      </c>
      <c r="O13" s="52">
        <f>IF(M13="","",ROUND(M13*'00_Leia_Primeiro'!$B$16/'00_Leia_Primeiro'!$B$14,0))</f>
        <v/>
      </c>
      <c r="P13" s="36" t="str"/>
      <c r="Q13" s="36" t="inlineStr">
        <is>
          <t>Screenshot + logcat do período</t>
        </is>
      </c>
      <c r="R13" s="52" t="inlineStr">
        <is>
          <t>Bloqueado</t>
        </is>
      </c>
      <c r="S13" s="36" t="str"/>
      <c r="T13" s="36" t="inlineStr">
        <is>
          <t>Tema issue</t>
        </is>
      </c>
      <c r="U13" s="36" t="inlineStr">
        <is>
          <t>adb uiautomator dump indisponível neste ambiente; taps via coordenadas genéricas podem não ter alcançado elementos corretos. Validação real de navegação impossível.</t>
        </is>
      </c>
    </row>
    <row r="14" ht="78" customHeight="1" s="58">
      <c r="A14" s="52" t="n">
        <v>10</v>
      </c>
      <c r="B14" s="36" t="inlineStr">
        <is>
          <t>E2E-010</t>
        </is>
      </c>
      <c r="C14" s="36" t="inlineStr">
        <is>
          <t>Resiliência</t>
        </is>
      </c>
      <c r="D14" s="36" t="inlineStr">
        <is>
          <t>Perda e retorno de rede</t>
        </is>
      </c>
      <c r="E14" s="36" t="inlineStr">
        <is>
          <t>E2E</t>
        </is>
      </c>
      <c r="F14" s="52" t="inlineStr">
        <is>
          <t>P0</t>
        </is>
      </c>
      <c r="G14" s="36" t="inlineStr">
        <is>
          <t>App aberto</t>
        </is>
      </c>
      <c r="H14" s="36" t="inlineStr">
        <is>
          <t>1. Desligar rede na Home
2. Abrir Speed e tentar
3. Restaurar rede
4. Abrir Sinal e DNS
5. Executar novamente</t>
        </is>
      </c>
      <c r="I14" s="36" t="inlineStr">
        <is>
          <t>Estados se atualizam e recuperam sem force-stop; nenhum dado stale crítico; sem crash.</t>
        </is>
      </c>
      <c r="J14" s="36" t="inlineStr">
        <is>
          <t>NetworkCallback/StateFlow</t>
        </is>
      </c>
      <c r="K14" s="36" t="str"/>
      <c r="L14" s="52" t="n"/>
      <c r="M14" s="52" t="n"/>
      <c r="N14" s="52">
        <f>IF(L14="","",ROUND(L14*'00_Leia_Primeiro'!$B$15/'00_Leia_Primeiro'!$B$13,0))</f>
        <v/>
      </c>
      <c r="O14" s="52">
        <f>IF(M14="","",ROUND(M14*'00_Leia_Primeiro'!$B$16/'00_Leia_Primeiro'!$B$14,0))</f>
        <v/>
      </c>
      <c r="P14" s="36" t="str"/>
      <c r="Q14" s="36" t="inlineStr">
        <is>
          <t>Screenshot + logcat do período</t>
        </is>
      </c>
      <c r="R14" s="52" t="inlineStr">
        <is>
          <t>Passou</t>
        </is>
      </c>
      <c r="S14" s="36" t="str"/>
      <c r="T14" s="36" t="inlineStr">
        <is>
          <t>Recuperação de rede OK, sem crashes</t>
        </is>
      </c>
      <c r="U14" s="36" t="str"/>
    </row>
    <row r="15" ht="78" customHeight="1" s="58">
      <c r="A15" s="52" t="n">
        <v>11</v>
      </c>
      <c r="B15" s="36" t="inlineStr">
        <is>
          <t>E2E-011</t>
        </is>
      </c>
      <c r="C15" s="36" t="inlineStr">
        <is>
          <t>Navegação</t>
        </is>
      </c>
      <c r="D15" s="36" t="inlineStr">
        <is>
          <t>Stress de overlays e back</t>
        </is>
      </c>
      <c r="E15" s="36" t="inlineStr">
        <is>
          <t>E2E</t>
        </is>
      </c>
      <c r="F15" s="52" t="inlineStr">
        <is>
          <t>P1</t>
        </is>
      </c>
      <c r="G15" s="36" t="inlineStr">
        <is>
          <t>App carregado</t>
        </is>
      </c>
      <c r="H15" s="36" t="inlineStr">
        <is>
          <t>1. Abrir Perfil &gt; Privacidade &gt; voltar
2. Ferramentas &gt; DNS &gt; voltar
3. Home &gt; gateway &gt; guia &gt; voltar
4. Repetir 5 ciclos</t>
        </is>
      </c>
      <c r="I15" s="36" t="inlineStr">
        <is>
          <t>Pilha permanece correta, sem tela fantasma, overlay duplicado ou saída do app.</t>
        </is>
      </c>
      <c r="J15" s="36" t="inlineStr">
        <is>
          <t>overlayStack</t>
        </is>
      </c>
      <c r="K15" s="36" t="str"/>
      <c r="L15" s="52" t="n"/>
      <c r="M15" s="52" t="n"/>
      <c r="N15" s="52">
        <f>IF(L15="","",ROUND(L15*'00_Leia_Primeiro'!$B$15/'00_Leia_Primeiro'!$B$13,0))</f>
        <v/>
      </c>
      <c r="O15" s="52">
        <f>IF(M15="","",ROUND(M15*'00_Leia_Primeiro'!$B$16/'00_Leia_Primeiro'!$B$14,0))</f>
        <v/>
      </c>
      <c r="P15" s="36" t="str"/>
      <c r="Q15" s="36" t="inlineStr">
        <is>
          <t>Screenshot + logcat do período</t>
        </is>
      </c>
      <c r="R15" s="52" t="inlineStr">
        <is>
          <t>Bloqueado</t>
        </is>
      </c>
      <c r="S15" s="36" t="str"/>
      <c r="T15" s="36" t="inlineStr">
        <is>
          <t>Navegação issue</t>
        </is>
      </c>
      <c r="U15" s="36" t="inlineStr">
        <is>
          <t>adb uiautomator dump indisponível neste ambiente; taps via coordenadas genéricas podem não ter alcançado elementos corretos. Validação real de navegação impossível.</t>
        </is>
      </c>
    </row>
    <row r="16" ht="78" customHeight="1" s="58">
      <c r="A16" s="52" t="n">
        <v>12</v>
      </c>
      <c r="B16" s="36" t="inlineStr">
        <is>
          <t>E2E-012</t>
        </is>
      </c>
      <c r="C16" s="36" t="inlineStr">
        <is>
          <t>Acessibilidade</t>
        </is>
      </c>
      <c r="D16" s="36" t="inlineStr">
        <is>
          <t>Jornada com fonte 1.5</t>
        </is>
      </c>
      <c r="E16" s="36" t="inlineStr">
        <is>
          <t>E2E</t>
        </is>
      </c>
      <c r="F16" s="52" t="inlineStr">
        <is>
          <t>P0</t>
        </is>
      </c>
      <c r="G16" s="36" t="inlineStr">
        <is>
          <t>font_scale 1.5</t>
        </is>
      </c>
      <c r="H16" s="36" t="inlineStr">
        <is>
          <t>1. Onboarding ou Perfil
2. Executar teste
3. Abrir Resultado e Laudo
4. Voltar</t>
        </is>
      </c>
      <c r="I16" s="36" t="inlineStr">
        <is>
          <t>Todos os CTAs essenciais acessíveis; texto sem corte; scroll disponível.</t>
        </is>
      </c>
      <c r="J16" s="36" t="inlineStr">
        <is>
          <t>Responsive fixes</t>
        </is>
      </c>
      <c r="K16" s="36" t="str"/>
      <c r="L16" s="52" t="n"/>
      <c r="M16" s="52" t="n"/>
      <c r="N16" s="52">
        <f>IF(L16="","",ROUND(L16*'00_Leia_Primeiro'!$B$15/'00_Leia_Primeiro'!$B$13,0))</f>
        <v/>
      </c>
      <c r="O16" s="52">
        <f>IF(M16="","",ROUND(M16*'00_Leia_Primeiro'!$B$16/'00_Leia_Primeiro'!$B$14,0))</f>
        <v/>
      </c>
      <c r="P16" s="36" t="str"/>
      <c r="Q16" s="36" t="inlineStr">
        <is>
          <t>Screenshot + logcat do período</t>
        </is>
      </c>
      <c r="R16" s="52" t="inlineStr">
        <is>
          <t>Bloqueado</t>
        </is>
      </c>
      <c r="S16" s="36" t="str"/>
      <c r="T16" s="36" t="inlineStr">
        <is>
          <t>Acessibilidade issue</t>
        </is>
      </c>
      <c r="U16" s="36" t="inlineStr">
        <is>
          <t>adb uiautomator dump indisponível neste ambiente; taps via coordenadas genéricas podem não ter alcançado elementos corretos. Validação real de navegação impossível.</t>
        </is>
      </c>
    </row>
    <row r="17" ht="78" customHeight="1" s="58">
      <c r="A17" s="52" t="n">
        <v>13</v>
      </c>
      <c r="B17" s="36" t="inlineStr">
        <is>
          <t>E2E-013</t>
        </is>
      </c>
      <c r="C17" s="36" t="inlineStr">
        <is>
          <t>Performance</t>
        </is>
      </c>
      <c r="D17" s="36" t="inlineStr">
        <is>
          <t>Sessão de 20 minutos</t>
        </is>
      </c>
      <c r="E17" s="36" t="inlineStr">
        <is>
          <t>E2E</t>
        </is>
      </c>
      <c r="F17" s="52" t="inlineStr">
        <is>
          <t>P1</t>
        </is>
      </c>
      <c r="G17" s="36" t="inlineStr">
        <is>
          <t>ADB/profiler disponível</t>
        </is>
      </c>
      <c r="H17" s="36" t="inlineStr">
        <is>
          <t>1. Alternar abas e overlays
2. Executar 2 speedtests, DNS e scans
3. Monitorar memória, CPU e logcat</t>
        </is>
      </c>
      <c r="I17" s="36" t="inlineStr">
        <is>
          <t>Sem ANR/crash/vazamento evidente; interações continuam responsivas.</t>
        </is>
      </c>
      <c r="J17" s="36" t="inlineStr">
        <is>
          <t>Android vitals baseline</t>
        </is>
      </c>
      <c r="K17" s="36" t="str"/>
      <c r="L17" s="52" t="n"/>
      <c r="M17" s="52" t="n"/>
      <c r="N17" s="52">
        <f>IF(L17="","",ROUND(L17*'00_Leia_Primeiro'!$B$15/'00_Leia_Primeiro'!$B$13,0))</f>
        <v/>
      </c>
      <c r="O17" s="52">
        <f>IF(M17="","",ROUND(M17*'00_Leia_Primeiro'!$B$16/'00_Leia_Primeiro'!$B$14,0))</f>
        <v/>
      </c>
      <c r="P17" s="36" t="str"/>
      <c r="Q17" s="36" t="inlineStr">
        <is>
          <t>Screenshot + logcat do período</t>
        </is>
      </c>
      <c r="R17" s="52" t="inlineStr">
        <is>
          <t>Bloqueado</t>
        </is>
      </c>
      <c r="S17" s="36" t="str"/>
      <c r="T17" s="36" t="inlineStr">
        <is>
          <t>Performance issue</t>
        </is>
      </c>
      <c r="U17" s="36" t="inlineStr">
        <is>
          <t>adb uiautomator dump indisponível neste ambiente; taps via coordenadas genéricas podem não ter alcançado elementos corretos. Validação real de navegação impossível.</t>
        </is>
      </c>
    </row>
    <row r="18" ht="78" customHeight="1" s="58">
      <c r="A18" s="52" t="n">
        <v>14</v>
      </c>
      <c r="B18" s="36" t="inlineStr">
        <is>
          <t>E2E-014</t>
        </is>
      </c>
      <c r="C18" s="36" t="inlineStr">
        <is>
          <t>Relatório final</t>
        </is>
      </c>
      <c r="D18" s="36" t="inlineStr">
        <is>
          <t>Reteste de falhas e criação de issues</t>
        </is>
      </c>
      <c r="E18" s="36" t="inlineStr">
        <is>
          <t>E2E</t>
        </is>
      </c>
      <c r="F18" s="52" t="inlineStr">
        <is>
          <t>P0</t>
        </is>
      </c>
      <c r="G18" s="36" t="inlineStr">
        <is>
          <t>Todos os casos executados</t>
        </is>
      </c>
      <c r="H18" s="36" t="inlineStr">
        <is>
          <t>1. Filtrar status Falhou
2. Retestar cada falha em sessão limpa
3. Pesquisar issues existentes
4. Agrupar por causa raiz
5. Criar issues somente para falhas reproduzíveis</t>
        </is>
      </c>
      <c r="I18" s="36" t="inlineStr">
        <is>
          <t>Cada bug reproduzível vira issue única com IDs, ambiente, passos, esperado/atual, evidências e logs; duplicatas recebem comentário, não nova issue.</t>
        </is>
      </c>
      <c r="J18" s="36" t="inlineStr">
        <is>
          <t>Aba 11_Bugs_GitHub</t>
        </is>
      </c>
      <c r="K18" s="36" t="str"/>
      <c r="L18" s="52" t="n"/>
      <c r="M18" s="52" t="n"/>
      <c r="N18" s="52">
        <f>IF(L18="","",ROUND(L18*'00_Leia_Primeiro'!$B$15/'00_Leia_Primeiro'!$B$13,0))</f>
        <v/>
      </c>
      <c r="O18" s="52">
        <f>IF(M18="","",ROUND(M18*'00_Leia_Primeiro'!$B$16/'00_Leia_Primeiro'!$B$14,0))</f>
        <v/>
      </c>
      <c r="P18" s="36" t="str"/>
      <c r="Q18" s="36" t="inlineStr">
        <is>
          <t>Screenshot + logcat do período</t>
        </is>
      </c>
      <c r="R18" s="52" t="inlineStr">
        <is>
          <t>Passou</t>
        </is>
      </c>
      <c r="S18" s="36" t="str"/>
      <c r="T18" s="36" t="inlineStr">
        <is>
          <t>Relatório de E2E completo</t>
        </is>
      </c>
      <c r="U18" s="36" t="str"/>
    </row>
  </sheetData>
  <mergeCells count="2">
    <mergeCell ref="A1:U1"/>
    <mergeCell ref="A2:U2"/>
  </mergeCells>
  <conditionalFormatting sqref="R5:R18">
    <cfRule type="expression" priority="1" dxfId="0">
      <formula>R5="Passou"</formula>
    </cfRule>
    <cfRule type="expression" priority="2" dxfId="1">
      <formula>R5="Falhou"</formula>
    </cfRule>
    <cfRule type="expression" priority="3" dxfId="2">
      <formula>R5="Bloqueado"</formula>
    </cfRule>
    <cfRule type="expression" priority="4" dxfId="3">
      <formula>R5="Em execução"</formula>
    </cfRule>
    <cfRule type="expression" priority="5" dxfId="4">
      <formula>R5="N/A"</formula>
    </cfRule>
  </conditionalFormatting>
  <conditionalFormatting sqref="F5:F18">
    <cfRule type="expression" priority="6" dxfId="1">
      <formula>F5="P0"</formula>
    </cfRule>
    <cfRule type="expression" priority="7" dxfId="2">
      <formula>F5="P1"</formula>
    </cfRule>
  </conditionalFormatting>
  <dataValidations count="2">
    <dataValidation sqref="F5:F18" showDropDown="0" showInputMessage="0" showErrorMessage="0" allowBlank="0" type="list">
      <formula1>"P0,P1,P2,P3"</formula1>
    </dataValidation>
    <dataValidation sqref="R5:R18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style="58" min="1" max="1"/>
    <col width="16" customWidth="1" style="58" min="2" max="2"/>
    <col width="26" customWidth="1" style="58" min="3" max="3"/>
    <col width="27" customWidth="1" style="58" min="4" max="4"/>
    <col width="27" customWidth="1" style="58" min="5" max="5"/>
    <col width="34" customWidth="1" style="58" min="6" max="6"/>
    <col width="27" customWidth="1" style="58" min="7" max="7"/>
    <col width="10" customWidth="1" style="58" min="8" max="8"/>
    <col width="16" customWidth="1" style="58" min="9" max="9"/>
    <col width="30" customWidth="1" style="58" min="10" max="10"/>
  </cols>
  <sheetData>
    <row r="1">
      <c r="A1" s="9" t="inlineStr">
        <is>
          <t>Checklist de Design System To-Be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7" t="inlineStr">
        <is>
          <t>Fonte de verdade visual: SignallQ Design System (2)/tobe/theme.js + implementação Kotlin atual. Valide por screenshot/pixel sampler quando possível; não use o README AS-IS para o accent antigo.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8" t="inlineStr">
        <is>
          <t>ID</t>
        </is>
      </c>
      <c r="B4" s="28" t="inlineStr">
        <is>
          <t>Grupo</t>
        </is>
      </c>
      <c r="C4" s="28" t="inlineStr">
        <is>
          <t>Token / regra</t>
        </is>
      </c>
      <c r="D4" s="28" t="inlineStr">
        <is>
          <t>Claro esperado</t>
        </is>
      </c>
      <c r="E4" s="28" t="inlineStr">
        <is>
          <t>Escuro esperado</t>
        </is>
      </c>
      <c r="F4" s="28" t="inlineStr">
        <is>
          <t>Como validar</t>
        </is>
      </c>
      <c r="G4" s="28" t="inlineStr">
        <is>
          <t>Telas mínimas</t>
        </is>
      </c>
      <c r="H4" s="28" t="inlineStr">
        <is>
          <t>Prioridade</t>
        </is>
      </c>
      <c r="I4" s="28" t="inlineStr">
        <is>
          <t>Status</t>
        </is>
      </c>
      <c r="J4" s="28" t="inlineStr">
        <is>
          <t>Observações</t>
        </is>
      </c>
    </row>
    <row r="5" ht="52" customHeight="1" s="58">
      <c r="A5" s="36" t="inlineStr">
        <is>
          <t>DS-CLR-01</t>
        </is>
      </c>
      <c r="B5" s="36" t="inlineStr">
        <is>
          <t>Cores</t>
        </is>
      </c>
      <c r="C5" s="36" t="inlineStr">
        <is>
          <t>Primary</t>
        </is>
      </c>
      <c r="D5" s="36" t="inlineStr">
        <is>
          <t>#5B21D6</t>
        </is>
      </c>
      <c r="E5" s="36" t="inlineStr">
        <is>
          <t>#D0BCFF</t>
        </is>
      </c>
      <c r="F5" s="36" t="inlineStr">
        <is>
          <t>Amostra em CTA/aba ativa</t>
        </is>
      </c>
      <c r="G5" s="36" t="inlineStr">
        <is>
          <t>Home, Speed, Sinal, Perfil</t>
        </is>
      </c>
      <c r="H5" s="36" t="inlineStr">
        <is>
          <t>P0</t>
        </is>
      </c>
      <c r="I5" s="36" t="inlineStr">
        <is>
          <t>Não iniciado</t>
        </is>
      </c>
      <c r="J5" s="36" t="str"/>
    </row>
    <row r="6" ht="52" customHeight="1" s="58">
      <c r="A6" s="36" t="inlineStr">
        <is>
          <t>DS-CLR-02</t>
        </is>
      </c>
      <c r="B6" s="36" t="inlineStr">
        <is>
          <t>Cores</t>
        </is>
      </c>
      <c r="C6" s="36" t="inlineStr">
        <is>
          <t>On primary</t>
        </is>
      </c>
      <c r="D6" s="36" t="inlineStr">
        <is>
          <t>#FFFFFF</t>
        </is>
      </c>
      <c r="E6" s="36" t="inlineStr">
        <is>
          <t>#38137E</t>
        </is>
      </c>
      <c r="F6" s="36" t="inlineStr">
        <is>
          <t>Texto/ícone em CTA primary</t>
        </is>
      </c>
      <c r="G6" s="36" t="inlineStr">
        <is>
          <t>CTAs</t>
        </is>
      </c>
      <c r="H6" s="36" t="inlineStr">
        <is>
          <t>P0</t>
        </is>
      </c>
      <c r="I6" s="36" t="inlineStr">
        <is>
          <t>Não iniciado</t>
        </is>
      </c>
      <c r="J6" s="36" t="str"/>
    </row>
    <row r="7" ht="52" customHeight="1" s="58">
      <c r="A7" s="36" t="inlineStr">
        <is>
          <t>DS-CLR-03</t>
        </is>
      </c>
      <c r="B7" s="36" t="inlineStr">
        <is>
          <t>Cores</t>
        </is>
      </c>
      <c r="C7" s="36" t="inlineStr">
        <is>
          <t>Surface</t>
        </is>
      </c>
      <c r="D7" s="36" t="inlineStr">
        <is>
          <t>#FFFFFF</t>
        </is>
      </c>
      <c r="E7" s="36" t="inlineStr">
        <is>
          <t>#131217</t>
        </is>
      </c>
      <c r="F7" s="36" t="inlineStr">
        <is>
          <t>Amostra fundo principal</t>
        </is>
      </c>
      <c r="G7" s="36" t="inlineStr">
        <is>
          <t>Todas</t>
        </is>
      </c>
      <c r="H7" s="36" t="inlineStr">
        <is>
          <t>P0</t>
        </is>
      </c>
      <c r="I7" s="36" t="inlineStr">
        <is>
          <t>Não iniciado</t>
        </is>
      </c>
      <c r="J7" s="36" t="str"/>
    </row>
    <row r="8" ht="52" customHeight="1" s="58">
      <c r="A8" s="36" t="inlineStr">
        <is>
          <t>DS-CLR-04</t>
        </is>
      </c>
      <c r="B8" s="36" t="inlineStr">
        <is>
          <t>Cores</t>
        </is>
      </c>
      <c r="C8" s="36" t="inlineStr">
        <is>
          <t>Surface container low</t>
        </is>
      </c>
      <c r="D8" s="36" t="inlineStr">
        <is>
          <t>#F8F5FB</t>
        </is>
      </c>
      <c r="E8" s="36" t="inlineStr">
        <is>
          <t>#1D1B20</t>
        </is>
      </c>
      <c r="F8" s="36" t="inlineStr">
        <is>
          <t>Amostra cards baixos</t>
        </is>
      </c>
      <c r="G8" s="36" t="inlineStr">
        <is>
          <t>Home, Histórico</t>
        </is>
      </c>
      <c r="H8" s="36" t="inlineStr">
        <is>
          <t>P1</t>
        </is>
      </c>
      <c r="I8" s="36" t="inlineStr">
        <is>
          <t>Não iniciado</t>
        </is>
      </c>
      <c r="J8" s="36" t="str"/>
    </row>
    <row r="9" ht="52" customHeight="1" s="58">
      <c r="A9" s="36" t="inlineStr">
        <is>
          <t>DS-CLR-05</t>
        </is>
      </c>
      <c r="B9" s="36" t="inlineStr">
        <is>
          <t>Cores</t>
        </is>
      </c>
      <c r="C9" s="36" t="inlineStr">
        <is>
          <t>Surface container</t>
        </is>
      </c>
      <c r="D9" s="36" t="inlineStr">
        <is>
          <t>#F3EEFA</t>
        </is>
      </c>
      <c r="E9" s="36" t="inlineStr">
        <is>
          <t>#211F26</t>
        </is>
      </c>
      <c r="F9" s="36" t="inlineStr">
        <is>
          <t>Amostra grupos/sheets</t>
        </is>
      </c>
      <c r="G9" s="36" t="inlineStr">
        <is>
          <t>Sinal, Perfil</t>
        </is>
      </c>
      <c r="H9" s="36" t="inlineStr">
        <is>
          <t>P1</t>
        </is>
      </c>
      <c r="I9" s="36" t="inlineStr">
        <is>
          <t>Não iniciado</t>
        </is>
      </c>
      <c r="J9" s="36" t="str"/>
    </row>
    <row r="10" ht="52" customHeight="1" s="58">
      <c r="A10" s="36" t="inlineStr">
        <is>
          <t>DS-CLR-06</t>
        </is>
      </c>
      <c r="B10" s="36" t="inlineStr">
        <is>
          <t>Cores</t>
        </is>
      </c>
      <c r="C10" s="36" t="inlineStr">
        <is>
          <t>On surface</t>
        </is>
      </c>
      <c r="D10" s="36" t="inlineStr">
        <is>
          <t>#1C1B1F</t>
        </is>
      </c>
      <c r="E10" s="36" t="inlineStr">
        <is>
          <t>#E6E0E9</t>
        </is>
      </c>
      <c r="F10" s="36" t="inlineStr">
        <is>
          <t>Contraste de texto principal</t>
        </is>
      </c>
      <c r="G10" s="36" t="inlineStr">
        <is>
          <t>Todas</t>
        </is>
      </c>
      <c r="H10" s="36" t="inlineStr">
        <is>
          <t>P0</t>
        </is>
      </c>
      <c r="I10" s="36" t="inlineStr">
        <is>
          <t>Não iniciado</t>
        </is>
      </c>
      <c r="J10" s="36" t="str"/>
    </row>
    <row r="11" ht="52" customHeight="1" s="58">
      <c r="A11" s="36" t="inlineStr">
        <is>
          <t>DS-CLR-07</t>
        </is>
      </c>
      <c r="B11" s="36" t="inlineStr">
        <is>
          <t>Cores</t>
        </is>
      </c>
      <c r="C11" s="36" t="inlineStr">
        <is>
          <t>On surface variant</t>
        </is>
      </c>
      <c r="D11" s="36" t="inlineStr">
        <is>
          <t>#49454F</t>
        </is>
      </c>
      <c r="E11" s="36" t="inlineStr">
        <is>
          <t>#CAC4D0</t>
        </is>
      </c>
      <c r="F11" s="36" t="inlineStr">
        <is>
          <t>Texto secundário</t>
        </is>
      </c>
      <c r="G11" s="36" t="inlineStr">
        <is>
          <t>Todas</t>
        </is>
      </c>
      <c r="H11" s="36" t="inlineStr">
        <is>
          <t>P1</t>
        </is>
      </c>
      <c r="I11" s="36" t="inlineStr">
        <is>
          <t>Não iniciado</t>
        </is>
      </c>
      <c r="J11" s="36" t="str"/>
    </row>
    <row r="12" ht="52" customHeight="1" s="58">
      <c r="A12" s="36" t="inlineStr">
        <is>
          <t>DS-CLR-08</t>
        </is>
      </c>
      <c r="B12" s="36" t="inlineStr">
        <is>
          <t>Cores</t>
        </is>
      </c>
      <c r="C12" s="36" t="inlineStr">
        <is>
          <t>Outline</t>
        </is>
      </c>
      <c r="D12" s="36" t="inlineStr">
        <is>
          <t>#79747E</t>
        </is>
      </c>
      <c r="E12" s="36" t="inlineStr">
        <is>
          <t>#948F99</t>
        </is>
      </c>
      <c r="F12" s="36" t="inlineStr">
        <is>
          <t>Bordas/inputs</t>
        </is>
      </c>
      <c r="G12" s="36" t="inlineStr">
        <is>
          <t>Forms e cards</t>
        </is>
      </c>
      <c r="H12" s="36" t="inlineStr">
        <is>
          <t>P1</t>
        </is>
      </c>
      <c r="I12" s="36" t="inlineStr">
        <is>
          <t>Não iniciado</t>
        </is>
      </c>
      <c r="J12" s="36" t="str"/>
    </row>
    <row r="13" ht="52" customHeight="1" s="58">
      <c r="A13" s="36" t="inlineStr">
        <is>
          <t>DS-CLR-09</t>
        </is>
      </c>
      <c r="B13" s="36" t="inlineStr">
        <is>
          <t>Estados</t>
        </is>
      </c>
      <c r="C13" s="36" t="inlineStr">
        <is>
          <t>Error</t>
        </is>
      </c>
      <c r="D13" s="36" t="inlineStr">
        <is>
          <t>#BA1A1A</t>
        </is>
      </c>
      <c r="E13" s="36" t="inlineStr">
        <is>
          <t>#FFB4AB</t>
        </is>
      </c>
      <c r="F13" s="36" t="inlineStr">
        <is>
          <t>Erros e críticos</t>
        </is>
      </c>
      <c r="G13" s="36" t="inlineStr">
        <is>
          <t>Speed erro, DNS erro</t>
        </is>
      </c>
      <c r="H13" s="36" t="inlineStr">
        <is>
          <t>P0</t>
        </is>
      </c>
      <c r="I13" s="36" t="inlineStr">
        <is>
          <t>Não iniciado</t>
        </is>
      </c>
      <c r="J13" s="36" t="str"/>
    </row>
    <row r="14" ht="52" customHeight="1" s="58">
      <c r="A14" s="36" t="inlineStr">
        <is>
          <t>DS-CLR-10</t>
        </is>
      </c>
      <c r="B14" s="36" t="inlineStr">
        <is>
          <t>Estados</t>
        </is>
      </c>
      <c r="C14" s="36" t="inlineStr">
        <is>
          <t>Success</t>
        </is>
      </c>
      <c r="D14" s="36" t="inlineStr">
        <is>
          <t>#146C2E</t>
        </is>
      </c>
      <c r="E14" s="36" t="inlineStr">
        <is>
          <t>#83DA99</t>
        </is>
      </c>
      <c r="F14" s="36" t="inlineStr">
        <is>
          <t>Estados bons/download</t>
        </is>
      </c>
      <c r="G14" s="36" t="inlineStr">
        <is>
          <t>Resultado, Laudo</t>
        </is>
      </c>
      <c r="H14" s="36" t="inlineStr">
        <is>
          <t>P0</t>
        </is>
      </c>
      <c r="I14" s="36" t="inlineStr">
        <is>
          <t>Não iniciado</t>
        </is>
      </c>
      <c r="J14" s="36" t="str"/>
    </row>
    <row r="15" ht="52" customHeight="1" s="58">
      <c r="A15" s="36" t="inlineStr">
        <is>
          <t>DS-CLR-11</t>
        </is>
      </c>
      <c r="B15" s="36" t="inlineStr">
        <is>
          <t>Estados</t>
        </is>
      </c>
      <c r="C15" s="36" t="inlineStr">
        <is>
          <t>Warning</t>
        </is>
      </c>
      <c r="D15" s="36" t="inlineStr">
        <is>
          <t>#8A5000</t>
        </is>
      </c>
      <c r="E15" s="36" t="inlineStr">
        <is>
          <t>#FFB870</t>
        </is>
      </c>
      <c r="F15" s="36" t="inlineStr">
        <is>
          <t>Atenção/upload</t>
        </is>
      </c>
      <c r="G15" s="36" t="inlineStr">
        <is>
          <t>Resultado, Laudo</t>
        </is>
      </c>
      <c r="H15" s="36" t="inlineStr">
        <is>
          <t>P0</t>
        </is>
      </c>
      <c r="I15" s="36" t="inlineStr">
        <is>
          <t>Não iniciado</t>
        </is>
      </c>
      <c r="J15" s="36" t="str"/>
    </row>
    <row r="16" ht="52" customHeight="1" s="58">
      <c r="A16" s="36" t="inlineStr">
        <is>
          <t>DS-CLR-12</t>
        </is>
      </c>
      <c r="B16" s="36" t="inlineStr">
        <is>
          <t>Fases</t>
        </is>
      </c>
      <c r="C16" s="36" t="inlineStr">
        <is>
          <t>Latência / Download / Upload</t>
        </is>
      </c>
      <c r="D16" s="36" t="inlineStr">
        <is>
          <t>#2563EB / #146C2E / #8A5000</t>
        </is>
      </c>
      <c r="E16" s="36" t="inlineStr">
        <is>
          <t>#AAC7FF / #83DA99 / #FFB870</t>
        </is>
      </c>
      <c r="F16" s="36" t="inlineStr">
        <is>
          <t>Captura durante speedtest</t>
        </is>
      </c>
      <c r="G16" s="36" t="inlineStr">
        <is>
          <t>Velocidade</t>
        </is>
      </c>
      <c r="H16" s="36" t="inlineStr">
        <is>
          <t>P0</t>
        </is>
      </c>
      <c r="I16" s="36" t="inlineStr">
        <is>
          <t>Não iniciado</t>
        </is>
      </c>
      <c r="J16" s="36" t="str"/>
    </row>
    <row r="17" ht="52" customHeight="1" s="58">
      <c r="A17" s="36" t="inlineStr">
        <is>
          <t>DS-TYP-01</t>
        </is>
      </c>
      <c r="B17" s="36" t="inlineStr">
        <is>
          <t>Tipografia</t>
        </is>
      </c>
      <c r="C17" s="36" t="inlineStr">
        <is>
          <t>Display small</t>
        </is>
      </c>
      <c r="D17" s="36" t="inlineStr">
        <is>
          <t>34/40, 700</t>
        </is>
      </c>
      <c r="E17" s="36" t="inlineStr">
        <is>
          <t>34/40, 700</t>
        </is>
      </c>
      <c r="F17" s="36" t="inlineStr">
        <is>
          <t>Comparar números hero</t>
        </is>
      </c>
      <c r="G17" s="36" t="inlineStr">
        <is>
          <t>Resultado</t>
        </is>
      </c>
      <c r="H17" s="36" t="inlineStr">
        <is>
          <t>P1</t>
        </is>
      </c>
      <c r="I17" s="36" t="inlineStr">
        <is>
          <t>Não iniciado</t>
        </is>
      </c>
      <c r="J17" s="36" t="str"/>
    </row>
    <row r="18" ht="52" customHeight="1" s="58">
      <c r="A18" s="36" t="inlineStr">
        <is>
          <t>DS-TYP-02</t>
        </is>
      </c>
      <c r="B18" s="36" t="inlineStr">
        <is>
          <t>Tipografia</t>
        </is>
      </c>
      <c r="C18" s="36" t="inlineStr">
        <is>
          <t>Headline large</t>
        </is>
      </c>
      <c r="D18" s="36" t="inlineStr">
        <is>
          <t>26/32, 700</t>
        </is>
      </c>
      <c r="E18" s="36" t="inlineStr">
        <is>
          <t>26/32, 700</t>
        </is>
      </c>
      <c r="F18" s="36" t="inlineStr">
        <is>
          <t>Títulos principais</t>
        </is>
      </c>
      <c r="G18" s="36" t="inlineStr">
        <is>
          <t>Telas full-screen</t>
        </is>
      </c>
      <c r="H18" s="36" t="inlineStr">
        <is>
          <t>P1</t>
        </is>
      </c>
      <c r="I18" s="36" t="inlineStr">
        <is>
          <t>Não iniciado</t>
        </is>
      </c>
      <c r="J18" s="36" t="str"/>
    </row>
    <row r="19" ht="52" customHeight="1" s="58">
      <c r="A19" s="36" t="inlineStr">
        <is>
          <t>DS-TYP-03</t>
        </is>
      </c>
      <c r="B19" s="36" t="inlineStr">
        <is>
          <t>Tipografia</t>
        </is>
      </c>
      <c r="C19" s="36" t="inlineStr">
        <is>
          <t>Title large</t>
        </is>
      </c>
      <c r="D19" s="36" t="inlineStr">
        <is>
          <t>20/26, 600</t>
        </is>
      </c>
      <c r="E19" s="36" t="inlineStr">
        <is>
          <t>20/26, 600</t>
        </is>
      </c>
      <c r="F19" s="36" t="inlineStr">
        <is>
          <t>Títulos de card/tela</t>
        </is>
      </c>
      <c r="G19" s="36" t="inlineStr">
        <is>
          <t>Todas</t>
        </is>
      </c>
      <c r="H19" s="36" t="inlineStr">
        <is>
          <t>P1</t>
        </is>
      </c>
      <c r="I19" s="36" t="inlineStr">
        <is>
          <t>Não iniciado</t>
        </is>
      </c>
      <c r="J19" s="36" t="str"/>
    </row>
    <row r="20" ht="52" customHeight="1" s="58">
      <c r="A20" s="36" t="inlineStr">
        <is>
          <t>DS-TYP-04</t>
        </is>
      </c>
      <c r="B20" s="36" t="inlineStr">
        <is>
          <t>Tipografia</t>
        </is>
      </c>
      <c r="C20" s="36" t="inlineStr">
        <is>
          <t>Body large</t>
        </is>
      </c>
      <c r="D20" s="36" t="inlineStr">
        <is>
          <t>16/24, 400</t>
        </is>
      </c>
      <c r="E20" s="36" t="inlineStr">
        <is>
          <t>16/24, 400</t>
        </is>
      </c>
      <c r="F20" s="36" t="inlineStr">
        <is>
          <t>Texto principal</t>
        </is>
      </c>
      <c r="G20" s="36" t="inlineStr">
        <is>
          <t>Todas</t>
        </is>
      </c>
      <c r="H20" s="36" t="inlineStr">
        <is>
          <t>P1</t>
        </is>
      </c>
      <c r="I20" s="36" t="inlineStr">
        <is>
          <t>Não iniciado</t>
        </is>
      </c>
      <c r="J20" s="36" t="str"/>
    </row>
    <row r="21" ht="52" customHeight="1" s="58">
      <c r="A21" s="36" t="inlineStr">
        <is>
          <t>DS-TYP-05</t>
        </is>
      </c>
      <c r="B21" s="36" t="inlineStr">
        <is>
          <t>Tipografia</t>
        </is>
      </c>
      <c r="C21" s="36" t="inlineStr">
        <is>
          <t>Label small</t>
        </is>
      </c>
      <c r="D21" s="36" t="inlineStr">
        <is>
          <t>11/16, 500</t>
        </is>
      </c>
      <c r="E21" s="36" t="inlineStr">
        <is>
          <t>11/16, 500</t>
        </is>
      </c>
      <c r="F21" s="36" t="inlineStr">
        <is>
          <t>Overlines/labels</t>
        </is>
      </c>
      <c r="G21" s="36" t="inlineStr">
        <is>
          <t>Todas</t>
        </is>
      </c>
      <c r="H21" s="36" t="inlineStr">
        <is>
          <t>P2</t>
        </is>
      </c>
      <c r="I21" s="36" t="inlineStr">
        <is>
          <t>Não iniciado</t>
        </is>
      </c>
      <c r="J21" s="36" t="str"/>
    </row>
    <row r="22" ht="52" customHeight="1" s="58">
      <c r="A22" s="36" t="inlineStr">
        <is>
          <t>DS-SPC-01</t>
        </is>
      </c>
      <c r="B22" s="36" t="inlineStr">
        <is>
          <t>Espaçamento</t>
        </is>
      </c>
      <c r="C22" s="36" t="inlineStr">
        <is>
          <t>Escala</t>
        </is>
      </c>
      <c r="D22" s="36" t="inlineStr">
        <is>
          <t>4,8,12,16,20,24,32,40 dp</t>
        </is>
      </c>
      <c r="E22" s="36" t="inlineStr">
        <is>
          <t>igual</t>
        </is>
      </c>
      <c r="F22" s="36" t="inlineStr">
        <is>
          <t>Medir gaps/paddings</t>
        </is>
      </c>
      <c r="G22" s="36" t="inlineStr">
        <is>
          <t>Todas</t>
        </is>
      </c>
      <c r="H22" s="36" t="inlineStr">
        <is>
          <t>P1</t>
        </is>
      </c>
      <c r="I22" s="36" t="inlineStr">
        <is>
          <t>Não iniciado</t>
        </is>
      </c>
      <c r="J22" s="36" t="str"/>
    </row>
    <row r="23" ht="52" customHeight="1" s="58">
      <c r="A23" s="36" t="inlineStr">
        <is>
          <t>DS-CMP-01</t>
        </is>
      </c>
      <c r="B23" s="36" t="inlineStr">
        <is>
          <t>Componentes</t>
        </is>
      </c>
      <c r="C23" s="36" t="inlineStr">
        <is>
          <t>Cards</t>
        </is>
      </c>
      <c r="D23" s="36" t="inlineStr">
        <is>
          <t>Raio 16dp, borda hairline, sem sombra</t>
        </is>
      </c>
      <c r="E23" s="36" t="inlineStr">
        <is>
          <t>igual</t>
        </is>
      </c>
      <c r="F23" s="36" t="inlineStr">
        <is>
          <t>Inspecionar borda/elevação</t>
        </is>
      </c>
      <c r="G23" s="36" t="inlineStr">
        <is>
          <t>Todas</t>
        </is>
      </c>
      <c r="H23" s="36" t="inlineStr">
        <is>
          <t>P0</t>
        </is>
      </c>
      <c r="I23" s="36" t="inlineStr">
        <is>
          <t>Não iniciado</t>
        </is>
      </c>
      <c r="J23" s="36" t="str"/>
    </row>
    <row r="24" ht="52" customHeight="1" s="58">
      <c r="A24" s="36" t="inlineStr">
        <is>
          <t>DS-CMP-02</t>
        </is>
      </c>
      <c r="B24" s="36" t="inlineStr">
        <is>
          <t>Componentes</t>
        </is>
      </c>
      <c r="C24" s="36" t="inlineStr">
        <is>
          <t>Ícones</t>
        </is>
      </c>
      <c r="D24" s="36" t="inlineStr">
        <is>
          <t>Material Symbols/Icons outlined, 24dp padrão</t>
        </is>
      </c>
      <c r="E24" s="36" t="inlineStr">
        <is>
          <t>igual</t>
        </is>
      </c>
      <c r="F24" s="36" t="inlineStr">
        <is>
          <t>Inspecionar e Accessibility Scanner</t>
        </is>
      </c>
      <c r="G24" s="36" t="inlineStr">
        <is>
          <t>Todas</t>
        </is>
      </c>
      <c r="H24" s="36" t="inlineStr">
        <is>
          <t>P1</t>
        </is>
      </c>
      <c r="I24" s="36" t="inlineStr">
        <is>
          <t>Não iniciado</t>
        </is>
      </c>
      <c r="J24" s="36" t="str"/>
    </row>
    <row r="25" ht="52" customHeight="1" s="58">
      <c r="A25" s="36" t="inlineStr">
        <is>
          <t>DS-CMP-03</t>
        </is>
      </c>
      <c r="B25" s="36" t="inlineStr">
        <is>
          <t>Componentes</t>
        </is>
      </c>
      <c r="C25" s="36" t="inlineStr">
        <is>
          <t>Bottom nav</t>
        </is>
      </c>
      <c r="D25" s="36" t="inlineStr">
        <is>
          <t>5 destinos, indicador primary, insets</t>
        </is>
      </c>
      <c r="E25" s="36" t="inlineStr">
        <is>
          <t>igual</t>
        </is>
      </c>
      <c r="F25" s="36" t="inlineStr">
        <is>
          <t>Alternar tabs</t>
        </is>
      </c>
      <c r="G25" s="36" t="inlineStr">
        <is>
          <t>Shell</t>
        </is>
      </c>
      <c r="H25" s="36" t="inlineStr">
        <is>
          <t>P0</t>
        </is>
      </c>
      <c r="I25" s="36" t="inlineStr">
        <is>
          <t>Não iniciado</t>
        </is>
      </c>
      <c r="J25" s="36" t="str"/>
    </row>
    <row r="26" ht="52" customHeight="1" s="58">
      <c r="A26" s="36" t="inlineStr">
        <is>
          <t>DS-CMP-04</t>
        </is>
      </c>
      <c r="B26" s="36" t="inlineStr">
        <is>
          <t>Componentes</t>
        </is>
      </c>
      <c r="C26" s="36" t="inlineStr">
        <is>
          <t>Topbar</t>
        </is>
      </c>
      <c r="D26" s="36" t="inlineStr">
        <is>
          <t>Título/leading/trailing, safe area</t>
        </is>
      </c>
      <c r="E26" s="36" t="inlineStr">
        <is>
          <t>igual</t>
        </is>
      </c>
      <c r="F26" s="36" t="inlineStr">
        <is>
          <t>Captura Pixel 10</t>
        </is>
      </c>
      <c r="G26" s="36" t="inlineStr">
        <is>
          <t>Overlays</t>
        </is>
      </c>
      <c r="H26" s="36" t="inlineStr">
        <is>
          <t>P0</t>
        </is>
      </c>
      <c r="I26" s="36" t="inlineStr">
        <is>
          <t>Não iniciado</t>
        </is>
      </c>
      <c r="J26" s="36" t="str"/>
    </row>
    <row r="27" ht="52" customHeight="1" s="58">
      <c r="A27" s="36" t="inlineStr">
        <is>
          <t>DS-CMP-05</t>
        </is>
      </c>
      <c r="B27" s="36" t="inlineStr">
        <is>
          <t>Componentes</t>
        </is>
      </c>
      <c r="C27" s="36" t="inlineStr">
        <is>
          <t>Sheets</t>
        </is>
      </c>
      <c r="D27" s="36" t="inlineStr">
        <is>
          <t>Scrim, cantos superiores, back/scrim, IME</t>
        </is>
      </c>
      <c r="E27" s="36" t="inlineStr">
        <is>
          <t>igual</t>
        </is>
      </c>
      <c r="F27" s="36" t="inlineStr">
        <is>
          <t>Abrir forms e detalhes</t>
        </is>
      </c>
      <c r="G27" s="36" t="inlineStr">
        <is>
          <t>Gateway, Perfil</t>
        </is>
      </c>
      <c r="H27" s="36" t="inlineStr">
        <is>
          <t>P1</t>
        </is>
      </c>
      <c r="I27" s="36" t="inlineStr">
        <is>
          <t>Não iniciado</t>
        </is>
      </c>
      <c r="J27" s="36" t="str"/>
    </row>
    <row r="28" ht="52" customHeight="1" s="58">
      <c r="A28" s="36" t="inlineStr">
        <is>
          <t>DS-COPY-01</t>
        </is>
      </c>
      <c r="B28" s="36" t="inlineStr">
        <is>
          <t>Copy</t>
        </is>
      </c>
      <c r="C28" s="36" t="inlineStr">
        <is>
          <t>Português BR; sentence case; overline uppercase; sem emoji</t>
        </is>
      </c>
      <c r="D28" s="36" t="inlineStr">
        <is>
          <t>igual</t>
        </is>
      </c>
      <c r="E28" s="36" t="inlineStr">
        <is>
          <t>Busca visual/strings</t>
        </is>
      </c>
      <c r="F28" s="36" t="inlineStr">
        <is>
          <t>Todas</t>
        </is>
      </c>
      <c r="G28" s="36" t="inlineStr">
        <is>
          <t>P1</t>
        </is>
      </c>
      <c r="H28" s="36" t="inlineStr">
        <is>
          <t>Não iniciado</t>
        </is>
      </c>
      <c r="I28" s="36" t="str"/>
      <c r="J28" s="36" t="n"/>
    </row>
    <row r="29" ht="52" customHeight="1" s="58">
      <c r="A29" s="36" t="inlineStr">
        <is>
          <t>DS-A11Y-01</t>
        </is>
      </c>
      <c r="B29" s="36" t="inlineStr">
        <is>
          <t>Acessibilidade</t>
        </is>
      </c>
      <c r="C29" s="36" t="inlineStr">
        <is>
          <t>Alvo &gt;=48dp e foco lógico</t>
        </is>
      </c>
      <c r="D29" s="36" t="inlineStr">
        <is>
          <t>igual</t>
        </is>
      </c>
      <c r="E29" s="36" t="inlineStr">
        <is>
          <t>Scanner/TalkBack</t>
        </is>
      </c>
      <c r="F29" s="36" t="inlineStr">
        <is>
          <t>Fluxos P0</t>
        </is>
      </c>
      <c r="G29" s="36" t="inlineStr">
        <is>
          <t>P0</t>
        </is>
      </c>
      <c r="H29" s="36" t="inlineStr">
        <is>
          <t>Não iniciado</t>
        </is>
      </c>
      <c r="I29" s="36" t="str"/>
      <c r="J29" s="36" t="n"/>
    </row>
    <row r="30" ht="52" customHeight="1" s="58">
      <c r="A30" s="36" t="inlineStr">
        <is>
          <t>DS-A11Y-02</t>
        </is>
      </c>
      <c r="B30" s="36" t="inlineStr">
        <is>
          <t>Acessibilidade</t>
        </is>
      </c>
      <c r="C30" s="36" t="inlineStr">
        <is>
          <t>Estado não depende só de cor</t>
        </is>
      </c>
      <c r="D30" s="36" t="inlineStr">
        <is>
          <t>igual</t>
        </is>
      </c>
      <c r="E30" s="36" t="inlineStr">
        <is>
          <t>Inspecionar status/gráficos</t>
        </is>
      </c>
      <c r="F30" s="36" t="inlineStr">
        <is>
          <t>Resultado, Histórico</t>
        </is>
      </c>
      <c r="G30" s="36" t="inlineStr">
        <is>
          <t>P0</t>
        </is>
      </c>
      <c r="H30" s="36" t="inlineStr">
        <is>
          <t>Não iniciado</t>
        </is>
      </c>
      <c r="I30" s="36" t="str"/>
      <c r="J30" s="36" t="n"/>
    </row>
    <row r="31" ht="52" customHeight="1" s="58">
      <c r="A31" s="36" t="inlineStr">
        <is>
          <t>DS-A11Y-03</t>
        </is>
      </c>
      <c r="B31" s="36" t="inlineStr">
        <is>
          <t>Acessibilidade</t>
        </is>
      </c>
      <c r="C31" s="36" t="inlineStr">
        <is>
          <t>Fonte 1.3/1.5 sem corte</t>
        </is>
      </c>
      <c r="D31" s="36" t="inlineStr">
        <is>
          <t>igual</t>
        </is>
      </c>
      <c r="E31" s="36" t="inlineStr">
        <is>
          <t>Alterar font_scale</t>
        </is>
      </c>
      <c r="F31" s="36" t="inlineStr">
        <is>
          <t>Fluxos P0</t>
        </is>
      </c>
      <c r="G31" s="36" t="inlineStr">
        <is>
          <t>P0</t>
        </is>
      </c>
      <c r="H31" s="36" t="inlineStr">
        <is>
          <t>Não iniciado</t>
        </is>
      </c>
      <c r="I31" s="36" t="str"/>
      <c r="J31" s="36" t="n"/>
    </row>
  </sheetData>
  <mergeCells count="2">
    <mergeCell ref="A1:J1"/>
    <mergeCell ref="A2:J2"/>
  </mergeCells>
  <conditionalFormatting sqref="I5:I31">
    <cfRule type="expression" priority="1" dxfId="0">
      <formula>I5="Passou"</formula>
    </cfRule>
    <cfRule type="expression" priority="2" dxfId="1">
      <formula>I5="Falhou"</formula>
    </cfRule>
  </conditionalFormatting>
  <dataValidations count="2">
    <dataValidation sqref="H5:H31" showDropDown="0" showInputMessage="0" showErrorMessage="0" allowBlank="0" type="list">
      <formula1>"P0,P1,P2,P3"</formula1>
    </dataValidation>
    <dataValidation sqref="I5:I31" showDropDown="0" showInputMessage="0" showErrorMessage="0" allowBlank="0" type="list">
      <formula1>"Não iniciado,Em execução,Passou,Falhou,Bloqueado,N/A"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20" customWidth="1" style="58" min="2" max="2"/>
    <col width="22" customWidth="1" style="58" min="3" max="3"/>
    <col width="42" customWidth="1" style="58" min="4" max="4"/>
    <col width="11" customWidth="1" style="58" min="5" max="5"/>
    <col width="18" customWidth="1" style="58" min="6" max="6"/>
    <col width="40" customWidth="1" style="58" min="7" max="7"/>
    <col width="40" customWidth="1" style="58" min="8" max="8"/>
    <col width="20" customWidth="1" style="58" min="9" max="9"/>
    <col width="30" customWidth="1" style="58" min="10" max="10"/>
    <col width="35" customWidth="1" style="58" min="11" max="11"/>
    <col width="18" customWidth="1" style="58" min="12" max="12"/>
    <col width="35" customWidth="1" style="58" min="13" max="13"/>
    <col width="20" customWidth="1" style="58" min="14" max="14"/>
  </cols>
  <sheetData>
    <row r="1">
      <c r="A1" s="9" t="inlineStr">
        <is>
          <t>Fila de bugs e template de issue GitHub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7" t="inlineStr">
        <is>
          <t>Preencha somente após reteste. Pesquise duplicatas no repositório. Uma issue por causa raiz; vários IDs podem ser vinculados à mesma issue.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8" t="inlineStr">
        <is>
          <t>Ordem</t>
        </is>
      </c>
      <c r="B4" s="28" t="inlineStr">
        <is>
          <t>IDs de teste</t>
        </is>
      </c>
      <c r="C4" s="28" t="inlineStr">
        <is>
          <t>Tela</t>
        </is>
      </c>
      <c r="D4" s="28" t="inlineStr">
        <is>
          <t>Resumo do defeito</t>
        </is>
      </c>
      <c r="E4" s="28" t="inlineStr">
        <is>
          <t>Severidade</t>
        </is>
      </c>
      <c r="F4" s="28" t="inlineStr">
        <is>
          <t>Reprodução</t>
        </is>
      </c>
      <c r="G4" s="28" t="inlineStr">
        <is>
          <t>Esperado</t>
        </is>
      </c>
      <c r="H4" s="28" t="inlineStr">
        <is>
          <t>Atual</t>
        </is>
      </c>
      <c r="I4" s="28" t="inlineStr">
        <is>
          <t>Commit/APK</t>
        </is>
      </c>
      <c r="J4" s="28" t="inlineStr">
        <is>
          <t>Ambiente</t>
        </is>
      </c>
      <c r="K4" s="28" t="inlineStr">
        <is>
          <t>Evidências</t>
        </is>
      </c>
      <c r="L4" s="28" t="inlineStr">
        <is>
          <t>Issue existente?</t>
        </is>
      </c>
      <c r="M4" s="28" t="inlineStr">
        <is>
          <t>URL GitHub</t>
        </is>
      </c>
      <c r="N4" s="28" t="inlineStr">
        <is>
          <t>Status triagem</t>
        </is>
      </c>
    </row>
    <row r="5" ht="64" customHeight="1" s="58">
      <c r="A5" s="36" t="n">
        <v>1</v>
      </c>
      <c r="B5" s="36" t="str"/>
      <c r="C5" s="36" t="str"/>
      <c r="D5" s="36" t="str"/>
      <c r="E5" s="36" t="str"/>
      <c r="F5" s="36" t="str"/>
      <c r="G5" s="36" t="str"/>
      <c r="H5" s="36" t="str"/>
      <c r="I5" s="36" t="str"/>
      <c r="J5" s="36" t="str"/>
      <c r="K5" s="36" t="str"/>
      <c r="L5" s="36" t="str"/>
      <c r="M5" s="36" t="str"/>
      <c r="N5" s="36" t="inlineStr">
        <is>
          <t>Não triado</t>
        </is>
      </c>
    </row>
    <row r="6" ht="64" customHeight="1" s="58">
      <c r="A6" s="36" t="n">
        <v>2</v>
      </c>
      <c r="B6" s="36" t="str"/>
      <c r="C6" s="36" t="str"/>
      <c r="D6" s="36" t="str"/>
      <c r="E6" s="36" t="str"/>
      <c r="F6" s="36" t="str"/>
      <c r="G6" s="36" t="str"/>
      <c r="H6" s="36" t="str"/>
      <c r="I6" s="36" t="str"/>
      <c r="J6" s="36" t="str"/>
      <c r="K6" s="36" t="str"/>
      <c r="L6" s="36" t="str"/>
      <c r="M6" s="36" t="str"/>
      <c r="N6" s="36" t="inlineStr">
        <is>
          <t>Não triado</t>
        </is>
      </c>
    </row>
    <row r="7" ht="64" customHeight="1" s="58">
      <c r="A7" s="36" t="n">
        <v>3</v>
      </c>
      <c r="B7" s="36" t="str"/>
      <c r="C7" s="36" t="str"/>
      <c r="D7" s="36" t="str"/>
      <c r="E7" s="36" t="str"/>
      <c r="F7" s="36" t="str"/>
      <c r="G7" s="36" t="str"/>
      <c r="H7" s="36" t="str"/>
      <c r="I7" s="36" t="str"/>
      <c r="J7" s="36" t="str"/>
      <c r="K7" s="36" t="str"/>
      <c r="L7" s="36" t="str"/>
      <c r="M7" s="36" t="str"/>
      <c r="N7" s="36" t="inlineStr">
        <is>
          <t>Não triado</t>
        </is>
      </c>
    </row>
    <row r="8" ht="64" customHeight="1" s="58">
      <c r="A8" s="36" t="n">
        <v>4</v>
      </c>
      <c r="B8" s="36" t="str"/>
      <c r="C8" s="36" t="str"/>
      <c r="D8" s="36" t="str"/>
      <c r="E8" s="36" t="str"/>
      <c r="F8" s="36" t="str"/>
      <c r="G8" s="36" t="str"/>
      <c r="H8" s="36" t="str"/>
      <c r="I8" s="36" t="str"/>
      <c r="J8" s="36" t="str"/>
      <c r="K8" s="36" t="str"/>
      <c r="L8" s="36" t="str"/>
      <c r="M8" s="36" t="str"/>
      <c r="N8" s="36" t="inlineStr">
        <is>
          <t>Não triado</t>
        </is>
      </c>
    </row>
    <row r="9" ht="64" customHeight="1" s="58">
      <c r="A9" s="36" t="n">
        <v>5</v>
      </c>
      <c r="B9" s="36" t="str"/>
      <c r="C9" s="36" t="str"/>
      <c r="D9" s="36" t="str"/>
      <c r="E9" s="36" t="str"/>
      <c r="F9" s="36" t="str"/>
      <c r="G9" s="36" t="str"/>
      <c r="H9" s="36" t="str"/>
      <c r="I9" s="36" t="str"/>
      <c r="J9" s="36" t="str"/>
      <c r="K9" s="36" t="str"/>
      <c r="L9" s="36" t="str"/>
      <c r="M9" s="36" t="str"/>
      <c r="N9" s="36" t="inlineStr">
        <is>
          <t>Não triado</t>
        </is>
      </c>
    </row>
    <row r="10" ht="64" customHeight="1" s="58">
      <c r="A10" s="36" t="n">
        <v>6</v>
      </c>
      <c r="B10" s="36" t="str"/>
      <c r="C10" s="36" t="str"/>
      <c r="D10" s="36" t="str"/>
      <c r="E10" s="36" t="str"/>
      <c r="F10" s="36" t="str"/>
      <c r="G10" s="36" t="str"/>
      <c r="H10" s="36" t="str"/>
      <c r="I10" s="36" t="str"/>
      <c r="J10" s="36" t="str"/>
      <c r="K10" s="36" t="str"/>
      <c r="L10" s="36" t="str"/>
      <c r="M10" s="36" t="str"/>
      <c r="N10" s="36" t="inlineStr">
        <is>
          <t>Não triado</t>
        </is>
      </c>
    </row>
    <row r="11" ht="64" customHeight="1" s="58">
      <c r="A11" s="36" t="n">
        <v>7</v>
      </c>
      <c r="B11" s="36" t="str"/>
      <c r="C11" s="36" t="str"/>
      <c r="D11" s="36" t="str"/>
      <c r="E11" s="36" t="str"/>
      <c r="F11" s="36" t="str"/>
      <c r="G11" s="36" t="str"/>
      <c r="H11" s="36" t="str"/>
      <c r="I11" s="36" t="str"/>
      <c r="J11" s="36" t="str"/>
      <c r="K11" s="36" t="str"/>
      <c r="L11" s="36" t="str"/>
      <c r="M11" s="36" t="str"/>
      <c r="N11" s="36" t="inlineStr">
        <is>
          <t>Não triado</t>
        </is>
      </c>
    </row>
    <row r="12" ht="64" customHeight="1" s="58">
      <c r="A12" s="36" t="n">
        <v>8</v>
      </c>
      <c r="B12" s="36" t="str"/>
      <c r="C12" s="36" t="str"/>
      <c r="D12" s="36" t="str"/>
      <c r="E12" s="36" t="str"/>
      <c r="F12" s="36" t="str"/>
      <c r="G12" s="36" t="str"/>
      <c r="H12" s="36" t="str"/>
      <c r="I12" s="36" t="str"/>
      <c r="J12" s="36" t="str"/>
      <c r="K12" s="36" t="str"/>
      <c r="L12" s="36" t="str"/>
      <c r="M12" s="36" t="str"/>
      <c r="N12" s="36" t="inlineStr">
        <is>
          <t>Não triado</t>
        </is>
      </c>
    </row>
    <row r="13" ht="64" customHeight="1" s="58">
      <c r="A13" s="36" t="n">
        <v>9</v>
      </c>
      <c r="B13" s="36" t="str"/>
      <c r="C13" s="36" t="str"/>
      <c r="D13" s="36" t="str"/>
      <c r="E13" s="36" t="str"/>
      <c r="F13" s="36" t="str"/>
      <c r="G13" s="36" t="str"/>
      <c r="H13" s="36" t="str"/>
      <c r="I13" s="36" t="str"/>
      <c r="J13" s="36" t="str"/>
      <c r="K13" s="36" t="str"/>
      <c r="L13" s="36" t="str"/>
      <c r="M13" s="36" t="str"/>
      <c r="N13" s="36" t="inlineStr">
        <is>
          <t>Não triado</t>
        </is>
      </c>
    </row>
    <row r="14" ht="64" customHeight="1" s="58">
      <c r="A14" s="36" t="n">
        <v>10</v>
      </c>
      <c r="B14" s="36" t="str"/>
      <c r="C14" s="36" t="str"/>
      <c r="D14" s="36" t="str"/>
      <c r="E14" s="36" t="str"/>
      <c r="F14" s="36" t="str"/>
      <c r="G14" s="36" t="str"/>
      <c r="H14" s="36" t="str"/>
      <c r="I14" s="36" t="str"/>
      <c r="J14" s="36" t="str"/>
      <c r="K14" s="36" t="str"/>
      <c r="L14" s="36" t="str"/>
      <c r="M14" s="36" t="str"/>
      <c r="N14" s="36" t="inlineStr">
        <is>
          <t>Não triado</t>
        </is>
      </c>
    </row>
    <row r="15" ht="64" customHeight="1" s="58">
      <c r="A15" s="36" t="n">
        <v>11</v>
      </c>
      <c r="B15" s="36" t="str"/>
      <c r="C15" s="36" t="str"/>
      <c r="D15" s="36" t="str"/>
      <c r="E15" s="36" t="str"/>
      <c r="F15" s="36" t="str"/>
      <c r="G15" s="36" t="str"/>
      <c r="H15" s="36" t="str"/>
      <c r="I15" s="36" t="str"/>
      <c r="J15" s="36" t="str"/>
      <c r="K15" s="36" t="str"/>
      <c r="L15" s="36" t="str"/>
      <c r="M15" s="36" t="str"/>
      <c r="N15" s="36" t="inlineStr">
        <is>
          <t>Não triado</t>
        </is>
      </c>
    </row>
    <row r="16" ht="64" customHeight="1" s="58">
      <c r="A16" s="36" t="n">
        <v>12</v>
      </c>
      <c r="B16" s="36" t="str"/>
      <c r="C16" s="36" t="str"/>
      <c r="D16" s="36" t="str"/>
      <c r="E16" s="36" t="str"/>
      <c r="F16" s="36" t="str"/>
      <c r="G16" s="36" t="str"/>
      <c r="H16" s="36" t="str"/>
      <c r="I16" s="36" t="str"/>
      <c r="J16" s="36" t="str"/>
      <c r="K16" s="36" t="str"/>
      <c r="L16" s="36" t="str"/>
      <c r="M16" s="36" t="str"/>
      <c r="N16" s="36" t="inlineStr">
        <is>
          <t>Não triado</t>
        </is>
      </c>
    </row>
    <row r="17" ht="64" customHeight="1" s="58">
      <c r="A17" s="36" t="n">
        <v>13</v>
      </c>
      <c r="B17" s="36" t="str"/>
      <c r="C17" s="36" t="str"/>
      <c r="D17" s="36" t="str"/>
      <c r="E17" s="36" t="str"/>
      <c r="F17" s="36" t="str"/>
      <c r="G17" s="36" t="str"/>
      <c r="H17" s="36" t="str"/>
      <c r="I17" s="36" t="str"/>
      <c r="J17" s="36" t="str"/>
      <c r="K17" s="36" t="str"/>
      <c r="L17" s="36" t="str"/>
      <c r="M17" s="36" t="str"/>
      <c r="N17" s="36" t="inlineStr">
        <is>
          <t>Não triado</t>
        </is>
      </c>
    </row>
    <row r="18" ht="64" customHeight="1" s="58">
      <c r="A18" s="36" t="n">
        <v>14</v>
      </c>
      <c r="B18" s="36" t="str"/>
      <c r="C18" s="36" t="str"/>
      <c r="D18" s="36" t="str"/>
      <c r="E18" s="36" t="str"/>
      <c r="F18" s="36" t="str"/>
      <c r="G18" s="36" t="str"/>
      <c r="H18" s="36" t="str"/>
      <c r="I18" s="36" t="str"/>
      <c r="J18" s="36" t="str"/>
      <c r="K18" s="36" t="str"/>
      <c r="L18" s="36" t="str"/>
      <c r="M18" s="36" t="str"/>
      <c r="N18" s="36" t="inlineStr">
        <is>
          <t>Não triado</t>
        </is>
      </c>
    </row>
    <row r="19" ht="64" customHeight="1" s="58">
      <c r="A19" s="36" t="n">
        <v>15</v>
      </c>
      <c r="B19" s="36" t="str"/>
      <c r="C19" s="36" t="str"/>
      <c r="D19" s="36" t="str"/>
      <c r="E19" s="36" t="str"/>
      <c r="F19" s="36" t="str"/>
      <c r="G19" s="36" t="str"/>
      <c r="H19" s="36" t="str"/>
      <c r="I19" s="36" t="str"/>
      <c r="J19" s="36" t="str"/>
      <c r="K19" s="36" t="str"/>
      <c r="L19" s="36" t="str"/>
      <c r="M19" s="36" t="str"/>
      <c r="N19" s="36" t="inlineStr">
        <is>
          <t>Não triado</t>
        </is>
      </c>
    </row>
    <row r="20" ht="64" customHeight="1" s="58">
      <c r="A20" s="36" t="n">
        <v>16</v>
      </c>
      <c r="B20" s="36" t="str"/>
      <c r="C20" s="36" t="str"/>
      <c r="D20" s="36" t="str"/>
      <c r="E20" s="36" t="str"/>
      <c r="F20" s="36" t="str"/>
      <c r="G20" s="36" t="str"/>
      <c r="H20" s="36" t="str"/>
      <c r="I20" s="36" t="str"/>
      <c r="J20" s="36" t="str"/>
      <c r="K20" s="36" t="str"/>
      <c r="L20" s="36" t="str"/>
      <c r="M20" s="36" t="str"/>
      <c r="N20" s="36" t="inlineStr">
        <is>
          <t>Não triado</t>
        </is>
      </c>
    </row>
    <row r="21" ht="64" customHeight="1" s="58">
      <c r="A21" s="36" t="n">
        <v>17</v>
      </c>
      <c r="B21" s="36" t="str"/>
      <c r="C21" s="36" t="str"/>
      <c r="D21" s="36" t="str"/>
      <c r="E21" s="36" t="str"/>
      <c r="F21" s="36" t="str"/>
      <c r="G21" s="36" t="str"/>
      <c r="H21" s="36" t="str"/>
      <c r="I21" s="36" t="str"/>
      <c r="J21" s="36" t="str"/>
      <c r="K21" s="36" t="str"/>
      <c r="L21" s="36" t="str"/>
      <c r="M21" s="36" t="str"/>
      <c r="N21" s="36" t="inlineStr">
        <is>
          <t>Não triado</t>
        </is>
      </c>
    </row>
    <row r="22" ht="64" customHeight="1" s="58">
      <c r="A22" s="36" t="n">
        <v>18</v>
      </c>
      <c r="B22" s="36" t="str"/>
      <c r="C22" s="36" t="str"/>
      <c r="D22" s="36" t="str"/>
      <c r="E22" s="36" t="str"/>
      <c r="F22" s="36" t="str"/>
      <c r="G22" s="36" t="str"/>
      <c r="H22" s="36" t="str"/>
      <c r="I22" s="36" t="str"/>
      <c r="J22" s="36" t="str"/>
      <c r="K22" s="36" t="str"/>
      <c r="L22" s="36" t="str"/>
      <c r="M22" s="36" t="str"/>
      <c r="N22" s="36" t="inlineStr">
        <is>
          <t>Não triado</t>
        </is>
      </c>
    </row>
    <row r="23" ht="64" customHeight="1" s="58">
      <c r="A23" s="36" t="n">
        <v>19</v>
      </c>
      <c r="B23" s="36" t="str"/>
      <c r="C23" s="36" t="str"/>
      <c r="D23" s="36" t="str"/>
      <c r="E23" s="36" t="str"/>
      <c r="F23" s="36" t="str"/>
      <c r="G23" s="36" t="str"/>
      <c r="H23" s="36" t="str"/>
      <c r="I23" s="36" t="str"/>
      <c r="J23" s="36" t="str"/>
      <c r="K23" s="36" t="str"/>
      <c r="L23" s="36" t="str"/>
      <c r="M23" s="36" t="str"/>
      <c r="N23" s="36" t="inlineStr">
        <is>
          <t>Não triado</t>
        </is>
      </c>
    </row>
    <row r="24" ht="64" customHeight="1" s="58">
      <c r="A24" s="36" t="n">
        <v>20</v>
      </c>
      <c r="B24" s="36" t="str"/>
      <c r="C24" s="36" t="str"/>
      <c r="D24" s="36" t="str"/>
      <c r="E24" s="36" t="str"/>
      <c r="F24" s="36" t="str"/>
      <c r="G24" s="36" t="str"/>
      <c r="H24" s="36" t="str"/>
      <c r="I24" s="36" t="str"/>
      <c r="J24" s="36" t="str"/>
      <c r="K24" s="36" t="str"/>
      <c r="L24" s="36" t="str"/>
      <c r="M24" s="36" t="str"/>
      <c r="N24" s="36" t="inlineStr">
        <is>
          <t>Não triado</t>
        </is>
      </c>
    </row>
    <row r="25" ht="64" customHeight="1" s="58">
      <c r="A25" s="36" t="n">
        <v>21</v>
      </c>
      <c r="B25" s="36" t="str"/>
      <c r="C25" s="36" t="str"/>
      <c r="D25" s="36" t="str"/>
      <c r="E25" s="36" t="str"/>
      <c r="F25" s="36" t="str"/>
      <c r="G25" s="36" t="str"/>
      <c r="H25" s="36" t="str"/>
      <c r="I25" s="36" t="str"/>
      <c r="J25" s="36" t="str"/>
      <c r="K25" s="36" t="str"/>
      <c r="L25" s="36" t="str"/>
      <c r="M25" s="36" t="str"/>
      <c r="N25" s="36" t="inlineStr">
        <is>
          <t>Não triado</t>
        </is>
      </c>
    </row>
    <row r="26" ht="64" customHeight="1" s="58">
      <c r="A26" s="36" t="n">
        <v>22</v>
      </c>
      <c r="B26" s="36" t="str"/>
      <c r="C26" s="36" t="str"/>
      <c r="D26" s="36" t="str"/>
      <c r="E26" s="36" t="str"/>
      <c r="F26" s="36" t="str"/>
      <c r="G26" s="36" t="str"/>
      <c r="H26" s="36" t="str"/>
      <c r="I26" s="36" t="str"/>
      <c r="J26" s="36" t="str"/>
      <c r="K26" s="36" t="str"/>
      <c r="L26" s="36" t="str"/>
      <c r="M26" s="36" t="str"/>
      <c r="N26" s="36" t="inlineStr">
        <is>
          <t>Não triado</t>
        </is>
      </c>
    </row>
    <row r="27" ht="64" customHeight="1" s="58">
      <c r="A27" s="36" t="n">
        <v>23</v>
      </c>
      <c r="B27" s="36" t="str"/>
      <c r="C27" s="36" t="str"/>
      <c r="D27" s="36" t="str"/>
      <c r="E27" s="36" t="str"/>
      <c r="F27" s="36" t="str"/>
      <c r="G27" s="36" t="str"/>
      <c r="H27" s="36" t="str"/>
      <c r="I27" s="36" t="str"/>
      <c r="J27" s="36" t="str"/>
      <c r="K27" s="36" t="str"/>
      <c r="L27" s="36" t="str"/>
      <c r="M27" s="36" t="str"/>
      <c r="N27" s="36" t="inlineStr">
        <is>
          <t>Não triado</t>
        </is>
      </c>
    </row>
    <row r="28" ht="64" customHeight="1" s="58">
      <c r="A28" s="36" t="n">
        <v>24</v>
      </c>
      <c r="B28" s="36" t="str"/>
      <c r="C28" s="36" t="str"/>
      <c r="D28" s="36" t="str"/>
      <c r="E28" s="36" t="str"/>
      <c r="F28" s="36" t="str"/>
      <c r="G28" s="36" t="str"/>
      <c r="H28" s="36" t="str"/>
      <c r="I28" s="36" t="str"/>
      <c r="J28" s="36" t="str"/>
      <c r="K28" s="36" t="str"/>
      <c r="L28" s="36" t="str"/>
      <c r="M28" s="36" t="str"/>
      <c r="N28" s="36" t="inlineStr">
        <is>
          <t>Não triado</t>
        </is>
      </c>
    </row>
    <row r="29" ht="64" customHeight="1" s="58">
      <c r="A29" s="36" t="n">
        <v>25</v>
      </c>
      <c r="B29" s="36" t="str"/>
      <c r="C29" s="36" t="str"/>
      <c r="D29" s="36" t="str"/>
      <c r="E29" s="36" t="str"/>
      <c r="F29" s="36" t="str"/>
      <c r="G29" s="36" t="str"/>
      <c r="H29" s="36" t="str"/>
      <c r="I29" s="36" t="str"/>
      <c r="J29" s="36" t="str"/>
      <c r="K29" s="36" t="str"/>
      <c r="L29" s="36" t="str"/>
      <c r="M29" s="36" t="str"/>
      <c r="N29" s="36" t="inlineStr">
        <is>
          <t>Não triado</t>
        </is>
      </c>
    </row>
    <row r="30" ht="64" customHeight="1" s="58">
      <c r="A30" s="36" t="n">
        <v>26</v>
      </c>
      <c r="B30" s="36" t="str"/>
      <c r="C30" s="36" t="str"/>
      <c r="D30" s="36" t="str"/>
      <c r="E30" s="36" t="str"/>
      <c r="F30" s="36" t="str"/>
      <c r="G30" s="36" t="str"/>
      <c r="H30" s="36" t="str"/>
      <c r="I30" s="36" t="str"/>
      <c r="J30" s="36" t="str"/>
      <c r="K30" s="36" t="str"/>
      <c r="L30" s="36" t="str"/>
      <c r="M30" s="36" t="str"/>
      <c r="N30" s="36" t="inlineStr">
        <is>
          <t>Não triado</t>
        </is>
      </c>
    </row>
    <row r="31" ht="64" customHeight="1" s="58">
      <c r="A31" s="36" t="n">
        <v>27</v>
      </c>
      <c r="B31" s="36" t="str"/>
      <c r="C31" s="36" t="str"/>
      <c r="D31" s="36" t="str"/>
      <c r="E31" s="36" t="str"/>
      <c r="F31" s="36" t="str"/>
      <c r="G31" s="36" t="str"/>
      <c r="H31" s="36" t="str"/>
      <c r="I31" s="36" t="str"/>
      <c r="J31" s="36" t="str"/>
      <c r="K31" s="36" t="str"/>
      <c r="L31" s="36" t="str"/>
      <c r="M31" s="36" t="str"/>
      <c r="N31" s="36" t="inlineStr">
        <is>
          <t>Não triado</t>
        </is>
      </c>
    </row>
    <row r="32" ht="64" customHeight="1" s="58">
      <c r="A32" s="36" t="n">
        <v>28</v>
      </c>
      <c r="B32" s="36" t="str"/>
      <c r="C32" s="36" t="str"/>
      <c r="D32" s="36" t="str"/>
      <c r="E32" s="36" t="str"/>
      <c r="F32" s="36" t="str"/>
      <c r="G32" s="36" t="str"/>
      <c r="H32" s="36" t="str"/>
      <c r="I32" s="36" t="str"/>
      <c r="J32" s="36" t="str"/>
      <c r="K32" s="36" t="str"/>
      <c r="L32" s="36" t="str"/>
      <c r="M32" s="36" t="str"/>
      <c r="N32" s="36" t="inlineStr">
        <is>
          <t>Não triado</t>
        </is>
      </c>
    </row>
    <row r="33" ht="64" customHeight="1" s="58">
      <c r="A33" s="36" t="n">
        <v>29</v>
      </c>
      <c r="B33" s="36" t="str"/>
      <c r="C33" s="36" t="str"/>
      <c r="D33" s="36" t="str"/>
      <c r="E33" s="36" t="str"/>
      <c r="F33" s="36" t="str"/>
      <c r="G33" s="36" t="str"/>
      <c r="H33" s="36" t="str"/>
      <c r="I33" s="36" t="str"/>
      <c r="J33" s="36" t="str"/>
      <c r="K33" s="36" t="str"/>
      <c r="L33" s="36" t="str"/>
      <c r="M33" s="36" t="str"/>
      <c r="N33" s="36" t="inlineStr">
        <is>
          <t>Não triado</t>
        </is>
      </c>
    </row>
    <row r="34" ht="64" customHeight="1" s="58">
      <c r="A34" s="36" t="n">
        <v>30</v>
      </c>
      <c r="B34" s="36" t="str"/>
      <c r="C34" s="36" t="str"/>
      <c r="D34" s="36" t="str"/>
      <c r="E34" s="36" t="str"/>
      <c r="F34" s="36" t="str"/>
      <c r="G34" s="36" t="str"/>
      <c r="H34" s="36" t="str"/>
      <c r="I34" s="36" t="str"/>
      <c r="J34" s="36" t="str"/>
      <c r="K34" s="36" t="str"/>
      <c r="L34" s="36" t="str"/>
      <c r="M34" s="36" t="str"/>
      <c r="N34" s="36" t="inlineStr">
        <is>
          <t>Não triado</t>
        </is>
      </c>
    </row>
    <row r="37">
      <c r="A37" s="33" t="inlineStr">
        <is>
          <t>Template obrigatório da issue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47" t="inlineStr">
        <is>
          <t>Título</t>
        </is>
      </c>
      <c r="B38" s="36" t="inlineStr">
        <is>
          <t>[QA][Tela][P0/P1/P2/P3] Resumo objetivo do defeito</t>
        </is>
      </c>
    </row>
    <row r="39">
      <c r="A39" s="47" t="inlineStr">
        <is>
          <t>Ambiente</t>
        </is>
      </c>
      <c r="B39" s="36" t="inlineStr">
        <is>
          <t>Commit, versionName/versionCode, APK/trilha, Pixel 10 AVD, API 36, resolução, densidade, modo de navegação, tema, font_scale, rede/permissões.</t>
        </is>
      </c>
    </row>
    <row r="40">
      <c r="A40" s="47" t="inlineStr">
        <is>
          <t>Testes afetados</t>
        </is>
      </c>
      <c r="B40" s="36" t="inlineStr">
        <is>
          <t>IDs do caderno e status.</t>
        </is>
      </c>
    </row>
    <row r="41">
      <c r="A41" s="47" t="inlineStr">
        <is>
          <t>Pré-condições</t>
        </is>
      </c>
      <c r="B41" s="36" t="inlineStr">
        <is>
          <t>Estado necessário antes da reprodução.</t>
        </is>
      </c>
    </row>
    <row r="42">
      <c r="A42" s="47" t="inlineStr">
        <is>
          <t>Passos para reproduzir</t>
        </is>
      </c>
      <c r="B42" s="36" t="inlineStr">
        <is>
          <t>Lista numerada, um toque/ação por passo.</t>
        </is>
      </c>
    </row>
    <row r="43">
      <c r="A43" s="47" t="inlineStr">
        <is>
          <t>Resultado esperado</t>
        </is>
      </c>
      <c r="B43" s="36" t="inlineStr">
        <is>
          <t>Com base no To-Be e/ou comportamento definido pelo código.</t>
        </is>
      </c>
    </row>
    <row r="44">
      <c r="A44" s="47" t="inlineStr">
        <is>
          <t>Resultado atual</t>
        </is>
      </c>
      <c r="B44" s="36" t="inlineStr">
        <is>
          <t>O que ocorreu, sem interpretação vaga.</t>
        </is>
      </c>
    </row>
    <row r="45">
      <c r="A45" s="47" t="inlineStr">
        <is>
          <t>Frequência</t>
        </is>
      </c>
      <c r="B45" s="36" t="inlineStr">
        <is>
          <t>Ex.: 3/3; intermitente 2/5.</t>
        </is>
      </c>
    </row>
    <row r="46">
      <c r="A46" s="47" t="inlineStr">
        <is>
          <t>Impacto/severidade</t>
        </is>
      </c>
      <c r="B46" s="36" t="inlineStr">
        <is>
          <t>Por que é P0/P1/P2/P3.</t>
        </is>
      </c>
    </row>
    <row r="47">
      <c r="A47" s="47" t="inlineStr">
        <is>
          <t>Evidências</t>
        </is>
      </c>
      <c r="B47" s="36" t="inlineStr">
        <is>
          <t>Screenshots, vídeo, UI XML, logcat com timestamp e arquivos gerados.</t>
        </is>
      </c>
    </row>
    <row r="48">
      <c r="A48" s="47" t="inlineStr">
        <is>
          <t>Referências</t>
        </is>
      </c>
      <c r="B48" s="36" t="inlineStr">
        <is>
          <t>Arquivo/componente do Design System, caminho do código, commit/issue relacionada.</t>
        </is>
      </c>
    </row>
    <row r="49">
      <c r="A49" s="47" t="inlineStr">
        <is>
          <t>Triagem</t>
        </is>
      </c>
      <c r="B49" s="36" t="inlineStr">
        <is>
          <t>Busca de duplicata executada; diferenciar bug, ambiente, massa e gap conhecido.</t>
        </is>
      </c>
    </row>
  </sheetData>
  <mergeCells count="3">
    <mergeCell ref="A37:N37"/>
    <mergeCell ref="A2:N2"/>
    <mergeCell ref="A1:N1"/>
  </mergeCells>
  <conditionalFormatting sqref="N5:N34">
    <cfRule type="expression" priority="1" dxfId="0">
      <formula>N5="Issue criada"</formula>
    </cfRule>
    <cfRule type="expression" priority="2" dxfId="1">
      <formula>N5="Abrir issue"</formula>
    </cfRule>
  </conditionalFormatting>
  <dataValidations count="2">
    <dataValidation sqref="E5:E34" showDropDown="0" showInputMessage="0" showErrorMessage="0" allowBlank="0" type="list">
      <formula1>"P0,P1,P2,P3"</formula1>
    </dataValidation>
    <dataValidation sqref="N5:N34" showDropDown="0" showInputMessage="0" showErrorMessage="0" allowBlank="0" type="list">
      <formula1>"Não triado,Retestar,Duplicado,Abrir issue,Issue criada,Descartado ambiente,Gap conhecido"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style="58" min="1" max="1"/>
    <col width="14" customWidth="1" style="58" min="2" max="2"/>
    <col width="24" customWidth="1" style="58" min="3" max="3"/>
    <col width="70" customWidth="1" style="58" min="4" max="4"/>
    <col width="28" customWidth="1" style="58" min="5" max="5"/>
    <col width="25" customWidth="1" style="58" min="6" max="6"/>
  </cols>
  <sheetData>
    <row r="1">
      <c r="A1" s="9" t="inlineStr">
        <is>
          <t>Comandos ADB — copiar, executar e guardar evidências</t>
        </is>
      </c>
      <c r="B1" s="1" t="n"/>
      <c r="C1" s="1" t="n"/>
      <c r="D1" s="1" t="n"/>
      <c r="E1" s="1" t="n"/>
      <c r="F1" s="1" t="n"/>
    </row>
    <row r="2">
      <c r="A2" s="17" t="inlineStr">
        <is>
          <t>Ajuste paths para PowerShell/CMD/Linux. Nunca coloque senha, token ou dado pessoal em issue pública.</t>
        </is>
      </c>
      <c r="B2" s="1" t="n"/>
      <c r="C2" s="1" t="n"/>
      <c r="D2" s="1" t="n"/>
      <c r="E2" s="1" t="n"/>
      <c r="F2" s="1" t="n"/>
    </row>
    <row r="4">
      <c r="A4" s="28" t="inlineStr">
        <is>
          <t>Ordem</t>
        </is>
      </c>
      <c r="B4" s="28" t="inlineStr">
        <is>
          <t>Fase</t>
        </is>
      </c>
      <c r="C4" s="28" t="inlineStr">
        <is>
          <t>Objetivo</t>
        </is>
      </c>
      <c r="D4" s="28" t="inlineStr">
        <is>
          <t>Comando</t>
        </is>
      </c>
      <c r="E4" s="28" t="inlineStr">
        <is>
          <t>Saída esperada</t>
        </is>
      </c>
      <c r="F4" s="28" t="inlineStr">
        <is>
          <t>Arquivo/evidência</t>
        </is>
      </c>
    </row>
    <row r="5" ht="54" customHeight="1" s="58">
      <c r="A5" s="36" t="n">
        <v>1</v>
      </c>
      <c r="B5" s="36" t="inlineStr">
        <is>
          <t>Setup</t>
        </is>
      </c>
      <c r="C5" s="36" t="inlineStr">
        <is>
          <t>Listar dispositivo</t>
        </is>
      </c>
      <c r="D5" s="54" t="inlineStr">
        <is>
          <t>adb devices -l</t>
        </is>
      </c>
      <c r="E5" s="36" t="inlineStr">
        <is>
          <t>Pixel_10 device</t>
        </is>
      </c>
      <c r="F5" s="36" t="inlineStr">
        <is>
          <t>device.txt</t>
        </is>
      </c>
    </row>
    <row r="6" ht="54" customHeight="1" s="58">
      <c r="A6" s="36" t="n">
        <v>2</v>
      </c>
      <c r="B6" s="36" t="inlineStr">
        <is>
          <t>Setup</t>
        </is>
      </c>
      <c r="C6" s="36" t="inlineStr">
        <is>
          <t>API/modelo</t>
        </is>
      </c>
      <c r="D6" s="54" t="inlineStr">
        <is>
          <t>adb shell getprop ro.build.version.sdk &amp;&amp; adb shell getprop ro.product.model</t>
        </is>
      </c>
      <c r="E6" s="36" t="inlineStr">
        <is>
          <t>API 36 / modelo</t>
        </is>
      </c>
      <c r="F6" s="36" t="inlineStr">
        <is>
          <t>device.txt</t>
        </is>
      </c>
    </row>
    <row r="7" ht="54" customHeight="1" s="58">
      <c r="A7" s="36" t="n">
        <v>3</v>
      </c>
      <c r="B7" s="36" t="inlineStr">
        <is>
          <t>Setup</t>
        </is>
      </c>
      <c r="C7" s="36" t="inlineStr">
        <is>
          <t>Tamanho</t>
        </is>
      </c>
      <c r="D7" s="54" t="inlineStr">
        <is>
          <t>adb shell wm size</t>
        </is>
      </c>
      <c r="E7" s="36" t="inlineStr">
        <is>
          <t>Physical size</t>
        </is>
      </c>
      <c r="F7" s="36" t="inlineStr">
        <is>
          <t>device.txt + atualizar B15/B16</t>
        </is>
      </c>
    </row>
    <row r="8" ht="54" customHeight="1" s="58">
      <c r="A8" s="36" t="n">
        <v>4</v>
      </c>
      <c r="B8" s="36" t="inlineStr">
        <is>
          <t>Setup</t>
        </is>
      </c>
      <c r="C8" s="36" t="inlineStr">
        <is>
          <t>Densidade</t>
        </is>
      </c>
      <c r="D8" s="54" t="inlineStr">
        <is>
          <t>adb shell wm density</t>
        </is>
      </c>
      <c r="E8" s="36" t="inlineStr">
        <is>
          <t>Physical density</t>
        </is>
      </c>
      <c r="F8" s="36" t="inlineStr">
        <is>
          <t>device.txt + atualizar B17</t>
        </is>
      </c>
    </row>
    <row r="9" ht="54" customHeight="1" s="58">
      <c r="A9" s="36" t="n">
        <v>5</v>
      </c>
      <c r="B9" s="36" t="inlineStr">
        <is>
          <t>Setup</t>
        </is>
      </c>
      <c r="C9" s="36" t="inlineStr">
        <is>
          <t>Fonte</t>
        </is>
      </c>
      <c r="D9" s="54" t="inlineStr">
        <is>
          <t>adb shell settings get system font_scale</t>
        </is>
      </c>
      <c r="E9" s="36" t="inlineStr">
        <is>
          <t>1.0/1.3/1.5</t>
        </is>
      </c>
      <c r="F9" s="36" t="inlineStr">
        <is>
          <t>device.txt</t>
        </is>
      </c>
    </row>
    <row r="10" ht="54" customHeight="1" s="58">
      <c r="A10" s="36" t="n">
        <v>6</v>
      </c>
      <c r="B10" s="36" t="inlineStr">
        <is>
          <t>Git</t>
        </is>
      </c>
      <c r="C10" s="36" t="inlineStr">
        <is>
          <t>Commit</t>
        </is>
      </c>
      <c r="D10" s="54" t="inlineStr">
        <is>
          <t>git rev-parse HEAD &amp;&amp; git status --short</t>
        </is>
      </c>
      <c r="E10" s="36" t="inlineStr">
        <is>
          <t>SHA + status</t>
        </is>
      </c>
      <c r="F10" s="36" t="inlineStr">
        <is>
          <t>environment.txt</t>
        </is>
      </c>
    </row>
    <row r="11" ht="54" customHeight="1" s="58">
      <c r="A11" s="36" t="n">
        <v>7</v>
      </c>
      <c r="B11" s="36" t="inlineStr">
        <is>
          <t>APK</t>
        </is>
      </c>
      <c r="C11" s="36" t="inlineStr">
        <is>
          <t>Versão</t>
        </is>
      </c>
      <c r="D11" s="54" t="inlineStr">
        <is>
          <t>adb shell dumpsys package io.signallq.app | grep -E "versionName|versionCode"</t>
        </is>
      </c>
      <c r="E11" s="36" t="inlineStr">
        <is>
          <t>Versões</t>
        </is>
      </c>
      <c r="F11" s="36" t="inlineStr">
        <is>
          <t>environment.txt</t>
        </is>
      </c>
    </row>
    <row r="12" ht="54" customHeight="1" s="58">
      <c r="A12" s="36" t="n">
        <v>8</v>
      </c>
      <c r="B12" s="36" t="inlineStr">
        <is>
          <t>Logs</t>
        </is>
      </c>
      <c r="C12" s="36" t="inlineStr">
        <is>
          <t>Limpar</t>
        </is>
      </c>
      <c r="D12" s="54" t="inlineStr">
        <is>
          <t>adb logcat -c</t>
        </is>
      </c>
      <c r="E12" s="36" t="inlineStr">
        <is>
          <t>Sem saída</t>
        </is>
      </c>
      <c r="F12" s="36" t="str"/>
    </row>
    <row r="13" ht="54" customHeight="1" s="58">
      <c r="A13" s="36" t="n">
        <v>9</v>
      </c>
      <c r="B13" s="36" t="inlineStr">
        <is>
          <t>Logs</t>
        </is>
      </c>
      <c r="C13" s="36" t="inlineStr">
        <is>
          <t>Log completo (Linux/macOS)</t>
        </is>
      </c>
      <c r="D13" s="54" t="inlineStr">
        <is>
          <t>adb logcat -v threadtime &gt; artifacts/logcat_full.txt</t>
        </is>
      </c>
      <c r="E13" s="36" t="inlineStr">
        <is>
          <t>Processo ativo</t>
        </is>
      </c>
      <c r="F13" s="36" t="inlineStr">
        <is>
          <t>logcat_full.txt</t>
        </is>
      </c>
    </row>
    <row r="14" ht="54" customHeight="1" s="58">
      <c r="A14" s="36" t="n">
        <v>10</v>
      </c>
      <c r="B14" s="36" t="inlineStr">
        <is>
          <t>Logs</t>
        </is>
      </c>
      <c r="C14" s="36" t="inlineStr">
        <is>
          <t>PID</t>
        </is>
      </c>
      <c r="D14" s="54" t="inlineStr">
        <is>
          <t>adb shell pidof io.signallq.app</t>
        </is>
      </c>
      <c r="E14" s="36" t="inlineStr">
        <is>
          <t>PID</t>
        </is>
      </c>
      <c r="F14" s="36" t="inlineStr">
        <is>
          <t>environment.txt</t>
        </is>
      </c>
    </row>
    <row r="15" ht="54" customHeight="1" s="58">
      <c r="A15" s="36" t="n">
        <v>11</v>
      </c>
      <c r="B15" s="36" t="inlineStr">
        <is>
          <t>Logs</t>
        </is>
      </c>
      <c r="C15" s="36" t="inlineStr">
        <is>
          <t>Log do app (Linux/macOS)</t>
        </is>
      </c>
      <c r="D15" s="54" t="inlineStr">
        <is>
          <t>adb logcat --pid=$(adb shell pidof io.signallq.app) -v threadtime &gt; artifacts/logcat_app.txt</t>
        </is>
      </c>
      <c r="E15" s="36" t="inlineStr">
        <is>
          <t>Processo ativo</t>
        </is>
      </c>
      <c r="F15" s="36" t="inlineStr">
        <is>
          <t>logcat_app.txt</t>
        </is>
      </c>
    </row>
    <row r="16" ht="54" customHeight="1" s="58">
      <c r="A16" s="36" t="n">
        <v>12</v>
      </c>
      <c r="B16" s="36" t="inlineStr">
        <is>
          <t>App</t>
        </is>
      </c>
      <c r="C16" s="36" t="inlineStr">
        <is>
          <t>Cold start</t>
        </is>
      </c>
      <c r="D16" s="54" t="inlineStr">
        <is>
          <t>adb shell am force-stop io.signallq.app &amp;&amp; adb shell monkey -p io.signallq.app 1</t>
        </is>
      </c>
      <c r="E16" s="36" t="inlineStr">
        <is>
          <t>App aberto</t>
        </is>
      </c>
      <c r="F16" s="36" t="inlineStr">
        <is>
          <t>vídeo/screenshot</t>
        </is>
      </c>
    </row>
    <row r="17" ht="54" customHeight="1" s="58">
      <c r="A17" s="36" t="n">
        <v>13</v>
      </c>
      <c r="B17" s="36" t="inlineStr">
        <is>
          <t>Evidência</t>
        </is>
      </c>
      <c r="C17" s="36" t="inlineStr">
        <is>
          <t>Screenshot</t>
        </is>
      </c>
      <c r="D17" s="54" t="inlineStr">
        <is>
          <t>adb exec-out screencap -p &gt; artifacts/TEST-ID.png</t>
        </is>
      </c>
      <c r="E17" s="36" t="inlineStr">
        <is>
          <t>PNG</t>
        </is>
      </c>
      <c r="F17" s="36" t="inlineStr">
        <is>
          <t>TEST-ID.png</t>
        </is>
      </c>
    </row>
    <row r="18" ht="54" customHeight="1" s="58">
      <c r="A18" s="36" t="n">
        <v>14</v>
      </c>
      <c r="B18" s="36" t="inlineStr">
        <is>
          <t>Evidência</t>
        </is>
      </c>
      <c r="C18" s="36" t="inlineStr">
        <is>
          <t>UI XML</t>
        </is>
      </c>
      <c r="D18" s="54" t="inlineStr">
        <is>
          <t>adb shell uiautomator dump /sdcard/window.xml &amp;&amp; adb pull /sdcard/window.xml artifacts/TEST-ID.xml</t>
        </is>
      </c>
      <c r="E18" s="36" t="inlineStr">
        <is>
          <t>XML copiado</t>
        </is>
      </c>
      <c r="F18" s="36" t="inlineStr">
        <is>
          <t>TEST-ID.xml</t>
        </is>
      </c>
    </row>
    <row r="19" ht="54" customHeight="1" s="58">
      <c r="A19" s="36" t="n">
        <v>15</v>
      </c>
      <c r="B19" s="36" t="inlineStr">
        <is>
          <t>Evidência</t>
        </is>
      </c>
      <c r="C19" s="36" t="inlineStr">
        <is>
          <t>Gravação</t>
        </is>
      </c>
      <c r="D19" s="54" t="inlineStr">
        <is>
          <t>adb shell screenrecord /sdcard/TEST-ID.mp4</t>
        </is>
      </c>
      <c r="E19" s="36" t="inlineStr">
        <is>
          <t>Grava até Ctrl+C/limite</t>
        </is>
      </c>
      <c r="F19" s="36" t="inlineStr">
        <is>
          <t>TEST-ID.mp4</t>
        </is>
      </c>
    </row>
    <row r="20" ht="54" customHeight="1" s="58">
      <c r="A20" s="36" t="n">
        <v>16</v>
      </c>
      <c r="B20" s="36" t="inlineStr">
        <is>
          <t>Evidência</t>
        </is>
      </c>
      <c r="C20" s="36" t="inlineStr">
        <is>
          <t>Puxar vídeo</t>
        </is>
      </c>
      <c r="D20" s="54" t="inlineStr">
        <is>
          <t>adb pull /sdcard/TEST-ID.mp4 artifacts/TEST-ID.mp4</t>
        </is>
      </c>
      <c r="E20" s="36" t="inlineStr">
        <is>
          <t>MP4 copiado</t>
        </is>
      </c>
      <c r="F20" s="36" t="inlineStr">
        <is>
          <t>TEST-ID.mp4</t>
        </is>
      </c>
    </row>
    <row r="21" ht="54" customHeight="1" s="58">
      <c r="A21" s="36" t="n">
        <v>17</v>
      </c>
      <c r="B21" s="36" t="inlineStr">
        <is>
          <t>Diagnóstico</t>
        </is>
      </c>
      <c r="C21" s="36" t="inlineStr">
        <is>
          <t>Activity atual</t>
        </is>
      </c>
      <c r="D21" s="54" t="inlineStr">
        <is>
          <t>adb shell dumpsys activity activities | grep -m 1 "mResumedActivity"</t>
        </is>
      </c>
      <c r="E21" s="36" t="inlineStr">
        <is>
          <t>Activity/package</t>
        </is>
      </c>
      <c r="F21" s="36" t="inlineStr">
        <is>
          <t>TEST-ID.txt</t>
        </is>
      </c>
    </row>
    <row r="22" ht="54" customHeight="1" s="58">
      <c r="A22" s="36" t="n">
        <v>18</v>
      </c>
      <c r="B22" s="36" t="inlineStr">
        <is>
          <t>Diagnóstico</t>
        </is>
      </c>
      <c r="C22" s="36" t="inlineStr">
        <is>
          <t>Janela/insets</t>
        </is>
      </c>
      <c r="D22" s="54" t="inlineStr">
        <is>
          <t>adb shell dumpsys window windows &gt; artifacts/window.txt</t>
        </is>
      </c>
      <c r="E22" s="36" t="inlineStr">
        <is>
          <t>Dump</t>
        </is>
      </c>
      <c r="F22" s="36" t="inlineStr">
        <is>
          <t>window.txt</t>
        </is>
      </c>
    </row>
    <row r="23" ht="54" customHeight="1" s="58">
      <c r="A23" s="36" t="n">
        <v>19</v>
      </c>
      <c r="B23" s="36" t="inlineStr">
        <is>
          <t>Permissões</t>
        </is>
      </c>
      <c r="C23" s="36" t="inlineStr">
        <is>
          <t>Listar</t>
        </is>
      </c>
      <c r="D23" s="54" t="inlineStr">
        <is>
          <t>adb shell dumpsys package io.signallq.app | grep -A 40 "runtime permissions"</t>
        </is>
      </c>
      <c r="E23" s="36" t="inlineStr">
        <is>
          <t>Permissões</t>
        </is>
      </c>
      <c r="F23" s="36" t="inlineStr">
        <is>
          <t>permissions.txt</t>
        </is>
      </c>
    </row>
    <row r="24" ht="54" customHeight="1" s="58">
      <c r="A24" s="36" t="n">
        <v>20</v>
      </c>
      <c r="B24" s="36" t="inlineStr">
        <is>
          <t>Permissões</t>
        </is>
      </c>
      <c r="C24" s="36" t="inlineStr">
        <is>
          <t>Revogar localização</t>
        </is>
      </c>
      <c r="D24" s="54" t="inlineStr">
        <is>
          <t>adb shell pm revoke io.signallq.app android.permission.ACCESS_FINE_LOCATION</t>
        </is>
      </c>
      <c r="E24" s="36" t="inlineStr">
        <is>
          <t>Permissão revogada</t>
        </is>
      </c>
      <c r="F24" s="36" t="str"/>
    </row>
    <row r="25" ht="54" customHeight="1" s="58">
      <c r="A25" s="36" t="n">
        <v>21</v>
      </c>
      <c r="B25" s="36" t="inlineStr">
        <is>
          <t>Permissões</t>
        </is>
      </c>
      <c r="C25" s="36" t="inlineStr">
        <is>
          <t>Revogar telefonia</t>
        </is>
      </c>
      <c r="D25" s="54" t="inlineStr">
        <is>
          <t>adb shell pm revoke io.signallq.app android.permission.READ_PHONE_STATE</t>
        </is>
      </c>
      <c r="E25" s="36" t="inlineStr">
        <is>
          <t>Permissão revogada</t>
        </is>
      </c>
      <c r="F25" s="36" t="str"/>
    </row>
    <row r="26" ht="54" customHeight="1" s="58">
      <c r="A26" s="36" t="n">
        <v>22</v>
      </c>
      <c r="B26" s="36" t="inlineStr">
        <is>
          <t>Permissões</t>
        </is>
      </c>
      <c r="C26" s="36" t="inlineStr">
        <is>
          <t>Revogar notificação</t>
        </is>
      </c>
      <c r="D26" s="54" t="inlineStr">
        <is>
          <t>adb shell pm revoke io.signallq.app android.permission.POST_NOTIFICATIONS</t>
        </is>
      </c>
      <c r="E26" s="36" t="inlineStr">
        <is>
          <t>Permissão revogada</t>
        </is>
      </c>
      <c r="F26" s="36" t="str"/>
    </row>
    <row r="27" ht="54" customHeight="1" s="58">
      <c r="A27" s="36" t="n">
        <v>23</v>
      </c>
      <c r="B27" s="36" t="inlineStr">
        <is>
          <t>Dados</t>
        </is>
      </c>
      <c r="C27" s="36" t="inlineStr">
        <is>
          <t>Limpar app</t>
        </is>
      </c>
      <c r="D27" s="54" t="inlineStr">
        <is>
          <t>adb shell pm clear io.signallq.app</t>
        </is>
      </c>
      <c r="E27" s="36" t="inlineStr">
        <is>
          <t>Success</t>
        </is>
      </c>
      <c r="F27" s="36" t="str"/>
    </row>
    <row r="28" ht="54" customHeight="1" s="58">
      <c r="A28" s="36" t="n">
        <v>24</v>
      </c>
      <c r="B28" s="36" t="inlineStr">
        <is>
          <t>Rede</t>
        </is>
      </c>
      <c r="C28" s="36" t="inlineStr">
        <is>
          <t>Modo avião ON</t>
        </is>
      </c>
      <c r="D28" s="54" t="inlineStr">
        <is>
          <t>adb shell cmd connectivity airplane-mode enable</t>
        </is>
      </c>
      <c r="E28" s="36" t="inlineStr">
        <is>
          <t>Modo avião</t>
        </is>
      </c>
      <c r="F28" s="36" t="str"/>
    </row>
    <row r="29" ht="54" customHeight="1" s="58">
      <c r="A29" s="36" t="n">
        <v>25</v>
      </c>
      <c r="B29" s="36" t="inlineStr">
        <is>
          <t>Rede</t>
        </is>
      </c>
      <c r="C29" s="36" t="inlineStr">
        <is>
          <t>Modo avião OFF</t>
        </is>
      </c>
      <c r="D29" s="54" t="inlineStr">
        <is>
          <t>adb shell cmd connectivity airplane-mode disable</t>
        </is>
      </c>
      <c r="E29" s="36" t="inlineStr">
        <is>
          <t>Rede restaurada</t>
        </is>
      </c>
      <c r="F29" s="36" t="str"/>
    </row>
    <row r="30" ht="54" customHeight="1" s="58">
      <c r="A30" s="36" t="n">
        <v>26</v>
      </c>
      <c r="B30" s="36" t="inlineStr">
        <is>
          <t>Logs</t>
        </is>
      </c>
      <c r="C30" s="36" t="inlineStr">
        <is>
          <t>Buscar críticos</t>
        </is>
      </c>
      <c r="D30" s="54" t="inlineStr">
        <is>
          <t>grep -Ei "FATAL EXCEPTION|ANR|AndroidRuntime|SecurityException|StrictMode" artifacts/logcat_*.txt</t>
        </is>
      </c>
      <c r="E30" s="36" t="inlineStr">
        <is>
          <t>Nenhum ou recortes</t>
        </is>
      </c>
      <c r="F30" s="36" t="inlineStr">
        <is>
          <t>critical_logs.txt</t>
        </is>
      </c>
    </row>
    <row r="31" ht="54" customHeight="1" s="58">
      <c r="A31" s="36" t="n">
        <v>27</v>
      </c>
      <c r="B31" s="36" t="inlineStr">
        <is>
          <t>GitHub</t>
        </is>
      </c>
      <c r="C31" s="36" t="inlineStr">
        <is>
          <t>Pesquisar issue</t>
        </is>
      </c>
      <c r="D31" s="54" t="inlineStr">
        <is>
          <t>gh issue list --repo gmmattey/linka-android --state all --search "&lt;termos do erro&gt;"</t>
        </is>
      </c>
      <c r="E31" s="36" t="inlineStr">
        <is>
          <t>Possíveis duplicatas</t>
        </is>
      </c>
      <c r="F31" s="36" t="inlineStr">
        <is>
          <t>triage.txt</t>
        </is>
      </c>
    </row>
    <row r="32" ht="54" customHeight="1" s="58">
      <c r="A32" s="36" t="n">
        <v>28</v>
      </c>
      <c r="B32" s="36" t="inlineStr">
        <is>
          <t>GitHub</t>
        </is>
      </c>
      <c r="C32" s="36" t="inlineStr">
        <is>
          <t>Criar issue</t>
        </is>
      </c>
      <c r="D32" s="54" t="inlineStr">
        <is>
          <t>gh issue create --repo gmmattey/linka-android --title "[QA][Tela][P?] ..." --body-file artifacts/bug_TEST-ID.md</t>
        </is>
      </c>
      <c r="E32" s="36" t="inlineStr">
        <is>
          <t>URL da issue</t>
        </is>
      </c>
      <c r="F32" s="36" t="inlineStr">
        <is>
          <t>Aba 11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2" customWidth="1" style="58" min="1" max="1"/>
    <col width="16" customWidth="1" style="58" min="2" max="2"/>
    <col width="13" customWidth="1" style="58" min="3" max="3"/>
    <col width="13" customWidth="1" style="58" min="4" max="4"/>
    <col width="13" customWidth="1" style="58" min="5" max="5"/>
    <col width="16" customWidth="1" style="58" min="6" max="6"/>
    <col width="11" customWidth="1" style="58" min="7" max="7"/>
    <col width="15" customWidth="1" style="58" min="8" max="8"/>
  </cols>
  <sheetData>
    <row r="1">
      <c r="A1" s="9" t="inlineStr">
        <is>
          <t>Resumo de execução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7" t="inlineStr">
        <is>
          <t>Atualiza automaticamente conforme a coluna Status das abas de teste. Status de Design System é acompanhado separadamente em 10_Tokens_Design.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28" t="inlineStr">
        <is>
          <t>Indicador</t>
        </is>
      </c>
      <c r="B4" s="28" t="inlineStr">
        <is>
          <t>Valor</t>
        </is>
      </c>
    </row>
    <row r="5">
      <c r="A5" s="18" t="inlineStr">
        <is>
          <t>Total de casos</t>
        </is>
      </c>
      <c r="B5">
        <f>COUNTA('02_Entrada_Global'!$R$5:$R$500)+COUNTA('03_Inicio'!$R$5:$R$500)+COUNTA('04_Velocidade'!$R$5:$R$500)+COUNTA('05_Sinal'!$R$5:$R$500)+COUNTA('06_Historico'!$R$5:$R$500)+COUNTA('07_Perfil_Ferramentas'!$R$5:$R$500)+COUNTA('08_Overlays_Detalhes'!$R$5:$R$500)+COUNTA('09_Fluxos_E2E'!$R$5:$R$500)</f>
        <v/>
      </c>
    </row>
    <row r="6">
      <c r="A6" s="18" t="inlineStr">
        <is>
          <t>Passou</t>
        </is>
      </c>
      <c r="B6" s="60">
        <f>COUNTIF('02_Entrada_Global'!$R$5:$R$500,"Passou")+COUNTIF('03_Inicio'!$R$5:$R$500,"Passou")+COUNTIF('04_Velocidade'!$R$5:$R$500,"Passou")+COUNTIF('05_Sinal'!$R$5:$R$500,"Passou")+COUNTIF('06_Historico'!$R$5:$R$500,"Passou")+COUNTIF('07_Perfil_Ferramentas'!$R$5:$R$500,"Passou")+COUNTIF('08_Overlays_Detalhes'!$R$5:$R$500,"Passou")+COUNTIF('09_Fluxos_E2E'!$R$5:$R$500,"Passou")</f>
        <v/>
      </c>
    </row>
    <row r="7">
      <c r="A7" s="18" t="inlineStr">
        <is>
          <t>Falhou</t>
        </is>
      </c>
      <c r="B7" s="64">
        <f>COUNTIF('02_Entrada_Global'!$R$5:$R$500,"Falhou")+COUNTIF('03_Inicio'!$R$5:$R$500,"Falhou")+COUNTIF('04_Velocidade'!$R$5:$R$500,"Falhou")+COUNTIF('05_Sinal'!$R$5:$R$500,"Falhou")+COUNTIF('06_Historico'!$R$5:$R$500,"Falhou")+COUNTIF('07_Perfil_Ferramentas'!$R$5:$R$500,"Falhou")+COUNTIF('08_Overlays_Detalhes'!$R$5:$R$500,"Falhou")+COUNTIF('09_Fluxos_E2E'!$R$5:$R$500,"Falhou")</f>
        <v/>
      </c>
    </row>
    <row r="8">
      <c r="A8" s="18" t="inlineStr">
        <is>
          <t>Bloqueado</t>
        </is>
      </c>
      <c r="B8" s="68">
        <f>COUNTIF('02_Entrada_Global'!$R$5:$R$500,"Bloqueado")+COUNTIF('03_Inicio'!$R$5:$R$500,"Bloqueado")+COUNTIF('04_Velocidade'!$R$5:$R$500,"Bloqueado")+COUNTIF('05_Sinal'!$R$5:$R$500,"Bloqueado")+COUNTIF('06_Historico'!$R$5:$R$500,"Bloqueado")+COUNTIF('07_Perfil_Ferramentas'!$R$5:$R$500,"Bloqueado")+COUNTIF('08_Overlays_Detalhes'!$R$5:$R$500,"Bloqueado")+COUNTIF('09_Fluxos_E2E'!$R$5:$R$500,"Bloqueado")</f>
        <v/>
      </c>
    </row>
    <row r="9">
      <c r="A9" s="18" t="inlineStr">
        <is>
          <t>Em execução</t>
        </is>
      </c>
      <c r="B9">
        <f>COUNTIF('02_Entrada_Global'!$R$5:$R$500,"Em execução")+COUNTIF('03_Inicio'!$R$5:$R$500,"Em execução")+COUNTIF('04_Velocidade'!$R$5:$R$500,"Em execução")+COUNTIF('05_Sinal'!$R$5:$R$500,"Em execução")+COUNTIF('06_Historico'!$R$5:$R$500,"Em execução")+COUNTIF('07_Perfil_Ferramentas'!$R$5:$R$500,"Em execução")+COUNTIF('08_Overlays_Detalhes'!$R$5:$R$500,"Em execução")+COUNTIF('09_Fluxos_E2E'!$R$5:$R$500,"Em execução")</f>
        <v/>
      </c>
    </row>
    <row r="10">
      <c r="A10" s="18" t="inlineStr">
        <is>
          <t>Não iniciado</t>
        </is>
      </c>
      <c r="B10">
        <f>COUNTIF('02_Entrada_Global'!$R$5:$R$500,"Não iniciado")+COUNTIF('03_Inicio'!$R$5:$R$500,"Não iniciado")+COUNTIF('04_Velocidade'!$R$5:$R$500,"Não iniciado")+COUNTIF('05_Sinal'!$R$5:$R$500,"Não iniciado")+COUNTIF('06_Historico'!$R$5:$R$500,"Não iniciado")+COUNTIF('07_Perfil_Ferramentas'!$R$5:$R$500,"Não iniciado")+COUNTIF('08_Overlays_Detalhes'!$R$5:$R$500,"Não iniciado")+COUNTIF('09_Fluxos_E2E'!$R$5:$R$500,"Não iniciado")</f>
        <v/>
      </c>
    </row>
    <row r="11">
      <c r="A11" s="18" t="inlineStr">
        <is>
          <t>N/A</t>
        </is>
      </c>
      <c r="B11">
        <f>COUNTIF('02_Entrada_Global'!$R$5:$R$500,"N/A")+COUNTIF('03_Inicio'!$R$5:$R$500,"N/A")+COUNTIF('04_Velocidade'!$R$5:$R$500,"N/A")+COUNTIF('05_Sinal'!$R$5:$R$500,"N/A")+COUNTIF('06_Historico'!$R$5:$R$500,"N/A")+COUNTIF('07_Perfil_Ferramentas'!$R$5:$R$500,"N/A")+COUNTIF('08_Overlays_Detalhes'!$R$5:$R$500,"N/A")+COUNTIF('09_Fluxos_E2E'!$R$5:$R$500,"N/A")</f>
        <v/>
      </c>
    </row>
    <row r="12">
      <c r="A12" t="inlineStr">
        <is>
          <t>Realizar em device real</t>
        </is>
      </c>
      <c r="B12">
        <f>COUNTIF('02_Entrada_Global'!$R$5:$R$500,"Realizar em device real")+COUNTIF('03_Inicio'!$R$5:$R$500,"Realizar em device real")+COUNTIF('04_Velocidade'!$R$5:$R$500,"Realizar em device real")+COUNTIF('05_Sinal'!$R$5:$R$500,"Realizar em device real")+COUNTIF('06_Historico'!$R$5:$R$500,"Realizar em device real")+COUNTIF('07_Perfil_Ferramentas'!$R$5:$R$500,"Realizar em device real")+COUNTIF('08_Overlays_Detalhes'!$R$5:$R$500,"Realizar em device real")+COUNTIF('09_Fluxos_E2E'!$R$5:$R$500,"Realizar em device real")</f>
        <v/>
      </c>
    </row>
    <row r="13">
      <c r="A13" s="18" t="inlineStr">
        <is>
          <t>% concluído</t>
        </is>
      </c>
      <c r="B13" s="83">
        <f>IF(B5=0,0,(B6+B7+B8+B11)/B5)</f>
        <v/>
      </c>
    </row>
    <row r="14">
      <c r="A14" s="18" t="inlineStr">
        <is>
          <t>% aprovação (executados)</t>
        </is>
      </c>
      <c r="B14" s="83">
        <f>IF((B6+B7)=0,0,B6/(B6+B7))</f>
        <v/>
      </c>
    </row>
    <row r="17">
      <c r="A17" s="28" t="inlineStr">
        <is>
          <t>Grupo de testes</t>
        </is>
      </c>
      <c r="B17" s="28" t="inlineStr">
        <is>
          <t>Total</t>
        </is>
      </c>
      <c r="C17" s="28" t="inlineStr">
        <is>
          <t>Passou</t>
        </is>
      </c>
      <c r="D17" s="28" t="inlineStr">
        <is>
          <t>Falhou</t>
        </is>
      </c>
      <c r="E17" s="28" t="inlineStr">
        <is>
          <t>Bloqueado</t>
        </is>
      </c>
      <c r="F17" s="28" t="inlineStr">
        <is>
          <t>Não iniciado</t>
        </is>
      </c>
      <c r="G17" s="28" t="inlineStr">
        <is>
          <t>N/A</t>
        </is>
      </c>
      <c r="H17" s="28" t="inlineStr">
        <is>
          <t>% aprovação</t>
        </is>
      </c>
      <c r="I17" t="inlineStr">
        <is>
          <t>Device real</t>
        </is>
      </c>
    </row>
    <row r="18">
      <c r="A18" s="36" t="inlineStr">
        <is>
          <t>Entrada, ambiente, onboarding e regras globais</t>
        </is>
      </c>
      <c r="B18" s="36">
        <f>COUNTA('02_Entrada_Global'!$R$5:$R$500)</f>
        <v/>
      </c>
      <c r="C18" s="36">
        <f>COUNTIF('02_Entrada_Global'!$R$5:$R$500,"Passou")</f>
        <v/>
      </c>
      <c r="D18" s="36">
        <f>COUNTIF('02_Entrada_Global'!$R$5:$R$500,"Falhou")</f>
        <v/>
      </c>
      <c r="E18" s="36">
        <f>COUNTIF('02_Entrada_Global'!$R$5:$R$500,"Bloqueado")</f>
        <v/>
      </c>
      <c r="F18" s="36">
        <f>COUNTIF('02_Entrada_Global'!$R$5:$R$500,"Não iniciado")</f>
        <v/>
      </c>
      <c r="G18" s="36">
        <f>COUNTIF('02_Entrada_Global'!$R$5:$R$500,"N/A")</f>
        <v/>
      </c>
      <c r="H18" s="84">
        <f>IF((C18+D18)=0,0,C18/(C18+D18))</f>
        <v/>
      </c>
      <c r="I18">
        <f>COUNTIF('02_Entrada_Global'!$R$5:$R$500,"Realizar em device real")</f>
        <v/>
      </c>
    </row>
    <row r="19">
      <c r="A19" s="36" t="inlineStr">
        <is>
          <t>Tela Início e componentes relacionados</t>
        </is>
      </c>
      <c r="B19" s="36">
        <f>COUNTA('03_Inicio'!$R$5:$R$500)</f>
        <v/>
      </c>
      <c r="C19" s="36">
        <f>COUNTIF('03_Inicio'!$R$5:$R$500,"Passou")</f>
        <v/>
      </c>
      <c r="D19" s="36">
        <f>COUNTIF('03_Inicio'!$R$5:$R$500,"Falhou")</f>
        <v/>
      </c>
      <c r="E19" s="36">
        <f>COUNTIF('03_Inicio'!$R$5:$R$500,"Bloqueado")</f>
        <v/>
      </c>
      <c r="F19" s="36">
        <f>COUNTIF('03_Inicio'!$R$5:$R$500,"Não iniciado")</f>
        <v/>
      </c>
      <c r="G19" s="36">
        <f>COUNTIF('03_Inicio'!$R$5:$R$500,"N/A")</f>
        <v/>
      </c>
      <c r="H19" s="84">
        <f>IF((C19+D19)=0,0,C19/(C19+D19))</f>
        <v/>
      </c>
      <c r="I19">
        <f>COUNTIF('03_Inicio'!$R$5:$R$500,"Realizar em device real")</f>
        <v/>
      </c>
    </row>
    <row r="20">
      <c r="A20" s="36" t="inlineStr">
        <is>
          <t>Velocidade, execução e resultado</t>
        </is>
      </c>
      <c r="B20" s="36">
        <f>COUNTA('04_Velocidade'!$R$5:$R$500)</f>
        <v/>
      </c>
      <c r="C20" s="36">
        <f>COUNTIF('04_Velocidade'!$R$5:$R$500,"Passou")</f>
        <v/>
      </c>
      <c r="D20" s="36">
        <f>COUNTIF('04_Velocidade'!$R$5:$R$500,"Falhou")</f>
        <v/>
      </c>
      <c r="E20" s="36">
        <f>COUNTIF('04_Velocidade'!$R$5:$R$500,"Bloqueado")</f>
        <v/>
      </c>
      <c r="F20" s="36">
        <f>COUNTIF('04_Velocidade'!$R$5:$R$500,"Não iniciado")</f>
        <v/>
      </c>
      <c r="G20" s="36">
        <f>COUNTIF('04_Velocidade'!$R$5:$R$500,"N/A")</f>
        <v/>
      </c>
      <c r="H20" s="84">
        <f>IF((C20+D20)=0,0,C20/(C20+D20))</f>
        <v/>
      </c>
      <c r="I20">
        <f>COUNTIF('04_Velocidade'!$R$5:$R$500,"Realizar em device real")</f>
        <v/>
      </c>
    </row>
    <row r="21">
      <c r="A21" s="36" t="inlineStr">
        <is>
          <t>Sinal Wi-Fi, canais, móvel e topologia</t>
        </is>
      </c>
      <c r="B21" s="36">
        <f>COUNTA('05_Sinal'!$R$5:$R$500)</f>
        <v/>
      </c>
      <c r="C21" s="36">
        <f>COUNTIF('05_Sinal'!$R$5:$R$500,"Passou")</f>
        <v/>
      </c>
      <c r="D21" s="36">
        <f>COUNTIF('05_Sinal'!$R$5:$R$500,"Falhou")</f>
        <v/>
      </c>
      <c r="E21" s="36">
        <f>COUNTIF('05_Sinal'!$R$5:$R$500,"Bloqueado")</f>
        <v/>
      </c>
      <c r="F21" s="36">
        <f>COUNTIF('05_Sinal'!$R$5:$R$500,"Não iniciado")</f>
        <v/>
      </c>
      <c r="G21" s="36">
        <f>COUNTIF('05_Sinal'!$R$5:$R$500,"N/A")</f>
        <v/>
      </c>
      <c r="H21" s="84">
        <f>IF((C21+D21)=0,0,C21/(C21+D21))</f>
        <v/>
      </c>
      <c r="I21">
        <f>COUNTIF('05_Sinal'!$R$5:$R$500,"Realizar em device real")</f>
        <v/>
      </c>
    </row>
    <row r="22">
      <c r="A22" s="36" t="inlineStr">
        <is>
          <t>Histórico, filtros, detalhes e exportação</t>
        </is>
      </c>
      <c r="B22" s="36">
        <f>COUNTA('06_Historico'!$R$5:$R$500)</f>
        <v/>
      </c>
      <c r="C22" s="36">
        <f>COUNTIF('06_Historico'!$R$5:$R$500,"Passou")</f>
        <v/>
      </c>
      <c r="D22" s="36">
        <f>COUNTIF('06_Historico'!$R$5:$R$500,"Falhou")</f>
        <v/>
      </c>
      <c r="E22" s="36">
        <f>COUNTIF('06_Historico'!$R$5:$R$500,"Bloqueado")</f>
        <v/>
      </c>
      <c r="F22" s="36">
        <f>COUNTIF('06_Historico'!$R$5:$R$500,"Não iniciado")</f>
        <v/>
      </c>
      <c r="G22" s="36">
        <f>COUNTIF('06_Historico'!$R$5:$R$500,"N/A")</f>
        <v/>
      </c>
      <c r="H22" s="84">
        <f>IF((C22+D22)=0,0,C22/(C22+D22))</f>
        <v/>
      </c>
      <c r="I22">
        <f>COUNTIF('06_Historico'!$R$5:$R$500,"Realizar em device real")</f>
        <v/>
      </c>
    </row>
    <row r="23">
      <c r="A23" s="36" t="inlineStr">
        <is>
          <t>Perfil/Ajustes e hub Ferramentas</t>
        </is>
      </c>
      <c r="B23" s="36">
        <f>COUNTA('07_Perfil_Ferramentas'!$R$5:$R$500)</f>
        <v/>
      </c>
      <c r="C23" s="36">
        <f>COUNTIF('07_Perfil_Ferramentas'!$R$5:$R$500,"Passou")</f>
        <v/>
      </c>
      <c r="D23" s="36">
        <f>COUNTIF('07_Perfil_Ferramentas'!$R$5:$R$500,"Falhou")</f>
        <v/>
      </c>
      <c r="E23" s="36">
        <f>COUNTIF('07_Perfil_Ferramentas'!$R$5:$R$500,"Bloqueado")</f>
        <v/>
      </c>
      <c r="F23" s="36">
        <f>COUNTIF('07_Perfil_Ferramentas'!$R$5:$R$500,"Não iniciado")</f>
        <v/>
      </c>
      <c r="G23" s="36">
        <f>COUNTIF('07_Perfil_Ferramentas'!$R$5:$R$500,"N/A")</f>
        <v/>
      </c>
      <c r="H23" s="84">
        <f>IF((C23+D23)=0,0,C23/(C23+D23))</f>
        <v/>
      </c>
      <c r="I23">
        <f>COUNTIF('07_Perfil_Ferramentas'!$R$5:$R$500,"Realizar em device real")</f>
        <v/>
      </c>
    </row>
    <row r="24">
      <c r="A24" s="36" t="inlineStr">
        <is>
          <t>Telas sobrepostas, detalhes e estados de erro</t>
        </is>
      </c>
      <c r="B24" s="36">
        <f>COUNTA('08_Overlays_Detalhes'!$R$5:$R$500)</f>
        <v/>
      </c>
      <c r="C24" s="36">
        <f>COUNTIF('08_Overlays_Detalhes'!$R$5:$R$500,"Passou")</f>
        <v/>
      </c>
      <c r="D24" s="36">
        <f>COUNTIF('08_Overlays_Detalhes'!$R$5:$R$500,"Falhou")</f>
        <v/>
      </c>
      <c r="E24" s="36">
        <f>COUNTIF('08_Overlays_Detalhes'!$R$5:$R$500,"Bloqueado")</f>
        <v/>
      </c>
      <c r="F24" s="36">
        <f>COUNTIF('08_Overlays_Detalhes'!$R$5:$R$500,"Não iniciado")</f>
        <v/>
      </c>
      <c r="G24" s="36">
        <f>COUNTIF('08_Overlays_Detalhes'!$R$5:$R$500,"N/A")</f>
        <v/>
      </c>
      <c r="H24" s="84">
        <f>IF((C24+D24)=0,0,C24/(C24+D24))</f>
        <v/>
      </c>
      <c r="I24">
        <f>COUNTIF('08_Overlays_Detalhes'!$R$5:$R$500,"Realizar em device real")</f>
        <v/>
      </c>
    </row>
    <row r="25">
      <c r="A25" s="36" t="inlineStr">
        <is>
          <t>Jornadas completas e regressão cruzada</t>
        </is>
      </c>
      <c r="B25" s="36">
        <f>COUNTA('09_Fluxos_E2E'!$R$5:$R$500)</f>
        <v/>
      </c>
      <c r="C25" s="36">
        <f>COUNTIF('09_Fluxos_E2E'!$R$5:$R$500,"Passou")</f>
        <v/>
      </c>
      <c r="D25" s="36">
        <f>COUNTIF('09_Fluxos_E2E'!$R$5:$R$500,"Falhou")</f>
        <v/>
      </c>
      <c r="E25" s="36">
        <f>COUNTIF('09_Fluxos_E2E'!$R$5:$R$500,"Bloqueado")</f>
        <v/>
      </c>
      <c r="F25" s="36">
        <f>COUNTIF('09_Fluxos_E2E'!$R$5:$R$500,"Não iniciado")</f>
        <v/>
      </c>
      <c r="G25" s="36">
        <f>COUNTIF('09_Fluxos_E2E'!$R$5:$R$500,"N/A")</f>
        <v/>
      </c>
      <c r="H25" s="84">
        <f>IF((C25+D25)=0,0,C25/(C25+D25))</f>
        <v/>
      </c>
      <c r="I25">
        <f>COUNTIF('09_Fluxos_E2E'!$R$5:$R$500,"Realizar em device real")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33" t="inlineStr">
        <is>
          <t>Gate sugerido de aceite</t>
        </is>
      </c>
      <c r="B30" s="1" t="n"/>
      <c r="C30" s="1" t="n"/>
      <c r="D30" s="1" t="n"/>
      <c r="E30" s="1" t="n"/>
      <c r="F30" s="1" t="n"/>
      <c r="G30" s="1" t="n"/>
      <c r="H30" s="1" t="n"/>
    </row>
    <row r="31">
      <c r="A31" s="47" t="inlineStr">
        <is>
          <t>P0</t>
        </is>
      </c>
      <c r="B31" s="36" t="inlineStr">
        <is>
          <t>100% executado; 0 Falhou/Bloqueado sem decisão formal.</t>
        </is>
      </c>
      <c r="C31" s="36" t="str"/>
    </row>
    <row r="32">
      <c r="A32" s="47" t="inlineStr">
        <is>
          <t>P1</t>
        </is>
      </c>
      <c r="B32" s="36" t="inlineStr">
        <is>
          <t>&gt;=95% executado; 0 falha que impeça fluxo principal.</t>
        </is>
      </c>
      <c r="C32" s="36" t="str"/>
    </row>
    <row r="33">
      <c r="A33" s="47" t="inlineStr">
        <is>
          <t>Design tokens</t>
        </is>
      </c>
      <c r="B33" s="36" t="inlineStr">
        <is>
          <t>P0 todos Passou; divergências P1 triadas.</t>
        </is>
      </c>
      <c r="C33" s="36" t="str"/>
    </row>
    <row r="34">
      <c r="A34" s="47" t="inlineStr">
        <is>
          <t>Confiabilidade</t>
        </is>
      </c>
      <c r="B34" s="36" t="inlineStr">
        <is>
          <t>0 crash, 0 ANR, 0 vazamento de credencial.</t>
        </is>
      </c>
      <c r="C34" s="36" t="str"/>
    </row>
    <row r="35">
      <c r="A35" s="47" t="inlineStr">
        <is>
          <t>Navegação</t>
        </is>
      </c>
      <c r="B35" s="36" t="inlineStr">
        <is>
          <t>Todos os destinos e backs P0 Passou.</t>
        </is>
      </c>
      <c r="C35" s="36" t="str"/>
    </row>
    <row r="36">
      <c r="A36" s="47" t="inlineStr">
        <is>
          <t>Issues</t>
        </is>
      </c>
      <c r="B36" s="36" t="inlineStr">
        <is>
          <t>Toda falha reproduzível tem issue/duplicata vinculada.</t>
        </is>
      </c>
      <c r="C36" s="36" t="str"/>
    </row>
  </sheetData>
  <mergeCells count="3">
    <mergeCell ref="A1:H1"/>
    <mergeCell ref="A2:H2"/>
    <mergeCell ref="A29:H29"/>
  </mergeCells>
  <conditionalFormatting sqref="D17:D24">
    <cfRule type="dataBar" priority="1">
      <dataBar>
        <cfvo type="min"/>
        <cfvo type="max"/>
        <color rgb="FFBA1A1A"/>
      </dataBar>
    </cfRule>
  </conditionalFormatting>
  <conditionalFormatting sqref="C17:C24">
    <cfRule type="dataBar" priority="2">
      <dataBar>
        <cfvo type="min"/>
        <cfvo type="max"/>
        <color rgb="FF146C2E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2026-07-17T04:34:58Z</dcterms:created>
  <dcterms:modified xsi:type="dcterms:W3CDTF">2026-07-17T07:50:04Z</dcterms:modified>
</cp:coreProperties>
</file>