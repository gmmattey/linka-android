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ba52d59d2741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Leia_Primeiro" sheetId="1" r:id="R06a05ff4a1e64a8a"/>
    <x:sheet xmlns:r="http://schemas.openxmlformats.org/officeDocument/2006/relationships" name="02_Entrada_Global" sheetId="2" r:id="R4fb0bd02dd6e47a1"/>
    <x:sheet xmlns:r="http://schemas.openxmlformats.org/officeDocument/2006/relationships" name="03_Inicio" sheetId="3" r:id="R3e7996106a744206"/>
    <x:sheet xmlns:r="http://schemas.openxmlformats.org/officeDocument/2006/relationships" name="04_Velocidade" sheetId="4" r:id="Rdf5acd1c0d1049db"/>
    <x:sheet xmlns:r="http://schemas.openxmlformats.org/officeDocument/2006/relationships" name="05_Sinal" sheetId="5" r:id="Rad88f051c61b44e8"/>
    <x:sheet xmlns:r="http://schemas.openxmlformats.org/officeDocument/2006/relationships" name="06_Historico" sheetId="6" r:id="R87bf53340fc34ff9"/>
    <x:sheet xmlns:r="http://schemas.openxmlformats.org/officeDocument/2006/relationships" name="07_Perfil_Ferramentas" sheetId="7" r:id="R63d35d42c35b45e7"/>
    <x:sheet xmlns:r="http://schemas.openxmlformats.org/officeDocument/2006/relationships" name="08_Overlays_Detalhes" sheetId="8" r:id="R60b2f4a68e3f4f5f"/>
    <x:sheet xmlns:r="http://schemas.openxmlformats.org/officeDocument/2006/relationships" name="09_Fluxos_E2E" sheetId="9" r:id="R45bef84a975146ae"/>
    <x:sheet xmlns:r="http://schemas.openxmlformats.org/officeDocument/2006/relationships" name="10_Tokens_Design" sheetId="10" r:id="Ra6487792da5c416e"/>
    <x:sheet xmlns:r="http://schemas.openxmlformats.org/officeDocument/2006/relationships" name="11_Bugs_GitHub" sheetId="11" r:id="R696bf202aa374ad0"/>
    <x:sheet xmlns:r="http://schemas.openxmlformats.org/officeDocument/2006/relationships" name="12_ADB_Comandos" sheetId="12" r:id="R060052fd2b094491"/>
    <x:sheet xmlns:r="http://schemas.openxmlformats.org/officeDocument/2006/relationships" name="01_Resumo" sheetId="13" r:id="R30fefb3feced4a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1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10A5C"/>
      <x:name val="Carlito"/>
    </x:font>
    <x:font>
      <x:b/>
      <x:sz val="11"/>
      <x:color rgb="FF210A5C"/>
      <x:name val="Carlito"/>
    </x:font>
    <x:font>
      <x:b/>
      <x:sz val="10"/>
      <x:color rgb="FFFFFFFF"/>
      <x:name val="Carlito"/>
    </x:font>
    <x:font>
      <x:sz val="9"/>
      <x:color rgb="FF1C1B1F"/>
      <x:name val="Carlito"/>
    </x:font>
    <x:font>
      <x:b/>
      <x:sz val="9"/>
      <x:color rgb="FF1C1B1F"/>
      <x:name val="Carlito"/>
    </x:font>
    <x:font>
      <x:b/>
      <x:sz val="9"/>
      <x:color rgb="FF8A5000"/>
      <x:name val="Carlito"/>
    </x:font>
    <x:font>
      <x:b/>
      <x:sz val="9"/>
      <x:color rgb="FF210A5C"/>
      <x:name val="Carlito"/>
    </x:font>
    <x:font>
      <x:sz val="9"/>
      <x:color rgb="FF210A5C"/>
      <x:name val="Consolas"/>
    </x:font>
    <x:font>
      <x:b/>
      <x:sz val="11"/>
      <x:color rgb="FF146C2E"/>
      <x:name val="Carlito"/>
    </x:font>
    <x:font>
      <x:b/>
      <x:sz val="11"/>
      <x:color rgb="FFBA1A1A"/>
      <x:name val="Carlito"/>
    </x:font>
    <x:font>
      <x:b/>
      <x:sz val="11"/>
      <x:color rgb="FF8A5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5B21D6"/>
      </x:patternFill>
    </x:fill>
    <x:fill>
      <x:patternFill patternType="solid">
        <x:fgColor rgb="FFEAE0FF"/>
      </x:patternFill>
    </x:fill>
    <x:fill>
      <x:patternFill patternType="solid">
        <x:fgColor rgb="FF210A5C"/>
      </x:patternFill>
    </x:fill>
    <x:fill>
      <x:patternFill patternType="solid">
        <x:fgColor rgb="FFFFDDB3"/>
      </x:patternFill>
    </x:fill>
    <x:fill>
      <x:patternFill patternType="solid">
        <x:fgColor rgb="FFB6F2BE"/>
      </x:patternFill>
    </x:fill>
    <x:fill>
      <x:patternFill patternType="solid">
        <x:fgColor rgb="FFFFDAD6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0" fontId="8" fillId="3" borderId="1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9" fillId="0" borderId="0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0" fillId="6" borderId="1" xfId="0" applyNumberFormat="1" applyFont="1" applyFill="1" applyBorder="1"/>
    <x:xf numFmtId="0" fontId="10" fillId="6" borderId="1" xfId="0" applyNumberFormat="1" applyFont="1" applyFill="1" applyBorder="1"/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0" fillId="7" borderId="1" xfId="0" applyNumberFormat="1" applyFont="1" applyFill="1" applyBorder="1"/>
    <x:xf numFmtId="0" fontId="11" fillId="7" borderId="1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5" borderId="1" xfId="0" applyNumberFormat="1" applyFont="1" applyFill="1" applyBorder="1"/>
    <x:xf numFmtId="0" fontId="12" fillId="5" borderId="1" xfId="0" applyNumberFormat="1" applyFont="1" applyFill="1" applyBorder="1"/>
    <x:xf numFmtId="200" fontId="5" fillId="0" borderId="0" xfId="0" applyNumberFormat="1" applyFont="1" applyFill="1" applyBorder="1" applyAlignment="1">
      <x:alignment vertical="top" wrapText="1"/>
    </x:xf>
    <x:xf numFmtId="200" fontId="5" fillId="0" borderId="1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6" fillId="4" borderId="1" xfId="0" applyNumberFormat="1" applyFont="1" applyFill="1" applyBorder="1" applyAlignment="1">
      <x:alignment horizontal="center" vertical="top" wrapText="1"/>
    </x:xf>
    <x:xf numFmtId="0" fontId="6" fillId="3" borderId="0" xfId="0" applyNumberFormat="1" applyFont="1" applyFill="1" applyBorder="1" applyAlignment="1">
      <x:alignment horizontal="center" vertical="top" wrapText="1"/>
    </x:xf>
    <x:xf numFmtId="0" fontId="8" fillId="3" borderId="0" xfId="0" applyNumberFormat="1" applyFont="1" applyFill="1" applyBorder="1" applyAlignment="1">
      <x:alignment horizontal="center" vertical="top" wrapText="1"/>
    </x:xf>
    <x:xf numFmtId="0" fontId="6" fillId="3" borderId="1" xfId="0" applyNumberFormat="1" applyFont="1" applyFill="1" applyBorder="1" applyAlignment="1">
      <x:alignment horizontal="center" vertical="top" wrapText="1"/>
    </x:xf>
    <x:xf numFmtId="0" fontId="8" fillId="3" borderId="1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60"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2851B8"/>
      </x:font>
      <x:fill>
        <x:patternFill>
          <x:bgColor rgb="FFDCE6FF"/>
        </x:patternFill>
      </x:fill>
    </x:dxf>
    <x:dxf>
      <x:font>
        <x:color rgb="FF49454F"/>
      </x:font>
      <x:fill>
        <x:patternFill>
          <x:bgColor rgb="FFE6E0E9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2851B8"/>
      </x:font>
      <x:fill>
        <x:patternFill>
          <x:bgColor rgb="FFDCE6FF"/>
        </x:patternFill>
      </x:fill>
    </x:dxf>
    <x:dxf>
      <x:font>
        <x:color rgb="FF49454F"/>
      </x:font>
      <x:fill>
        <x:patternFill>
          <x:bgColor rgb="FFE6E0E9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2851B8"/>
      </x:font>
      <x:fill>
        <x:patternFill>
          <x:bgColor rgb="FFDCE6FF"/>
        </x:patternFill>
      </x:fill>
    </x:dxf>
    <x:dxf>
      <x:font>
        <x:color rgb="FF49454F"/>
      </x:font>
      <x:fill>
        <x:patternFill>
          <x:bgColor rgb="FFE6E0E9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2851B8"/>
      </x:font>
      <x:fill>
        <x:patternFill>
          <x:bgColor rgb="FFDCE6FF"/>
        </x:patternFill>
      </x:fill>
    </x:dxf>
    <x:dxf>
      <x:font>
        <x:color rgb="FF49454F"/>
      </x:font>
      <x:fill>
        <x:patternFill>
          <x:bgColor rgb="FFE6E0E9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2851B8"/>
      </x:font>
      <x:fill>
        <x:patternFill>
          <x:bgColor rgb="FFDCE6FF"/>
        </x:patternFill>
      </x:fill>
    </x:dxf>
    <x:dxf>
      <x:font>
        <x:color rgb="FF49454F"/>
      </x:font>
      <x:fill>
        <x:patternFill>
          <x:bgColor rgb="FFE6E0E9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2851B8"/>
      </x:font>
      <x:fill>
        <x:patternFill>
          <x:bgColor rgb="FFDCE6FF"/>
        </x:patternFill>
      </x:fill>
    </x:dxf>
    <x:dxf>
      <x:font>
        <x:color rgb="FF49454F"/>
      </x:font>
      <x:fill>
        <x:patternFill>
          <x:bgColor rgb="FFE6E0E9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2851B8"/>
      </x:font>
      <x:fill>
        <x:patternFill>
          <x:bgColor rgb="FFDCE6FF"/>
        </x:patternFill>
      </x:fill>
    </x:dxf>
    <x:dxf>
      <x:font>
        <x:color rgb="FF49454F"/>
      </x:font>
      <x:fill>
        <x:patternFill>
          <x:bgColor rgb="FFE6E0E9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2851B8"/>
      </x:font>
      <x:fill>
        <x:patternFill>
          <x:bgColor rgb="FFDCE6FF"/>
        </x:patternFill>
      </x:fill>
    </x:dxf>
    <x:dxf>
      <x:font>
        <x:color rgb="FF49454F"/>
      </x:font>
      <x:fill>
        <x:patternFill>
          <x:bgColor rgb="FFE6E0E9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8A5000"/>
      </x:font>
      <x:fill>
        <x:patternFill>
          <x:bgColor rgb="FFFFDDB3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  <x:dxf>
      <x:font>
        <x:b/>
        <x:color rgb="FF146C2E"/>
      </x:font>
      <x:fill>
        <x:patternFill>
          <x:bgColor rgb="FFB6F2BE"/>
        </x:patternFill>
      </x:fill>
    </x:dxf>
    <x:dxf>
      <x:font>
        <x:b/>
        <x:color rgb="FFBA1A1A"/>
      </x:font>
      <x:fill>
        <x:patternFill>
          <x:bgColor rgb="FFFFDA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56b9a62e194f7e" /><Relationship Type="http://schemas.openxmlformats.org/officeDocument/2006/relationships/theme" Target="/xl/theme/theme1.xml" Id="Rbef6d63338e54ea9" /><Relationship Type="http://schemas.openxmlformats.org/officeDocument/2006/relationships/sharedStrings" Target="/xl/sharedStrings.xml" Id="R6e106b52621c41b1" /><Relationship Type="http://schemas.openxmlformats.org/officeDocument/2006/relationships/worksheet" Target="/xl/worksheets/sheet1.xml" Id="R06a05ff4a1e64a8a" /><Relationship Type="http://schemas.openxmlformats.org/officeDocument/2006/relationships/worksheet" Target="/xl/worksheets/sheet2.xml" Id="R4fb0bd02dd6e47a1" /><Relationship Type="http://schemas.openxmlformats.org/officeDocument/2006/relationships/worksheet" Target="/xl/worksheets/sheet3.xml" Id="R3e7996106a744206" /><Relationship Type="http://schemas.openxmlformats.org/officeDocument/2006/relationships/worksheet" Target="/xl/worksheets/sheet4.xml" Id="Rdf5acd1c0d1049db" /><Relationship Type="http://schemas.openxmlformats.org/officeDocument/2006/relationships/worksheet" Target="/xl/worksheets/sheet5.xml" Id="Rad88f051c61b44e8" /><Relationship Type="http://schemas.openxmlformats.org/officeDocument/2006/relationships/worksheet" Target="/xl/worksheets/sheet6.xml" Id="R87bf53340fc34ff9" /><Relationship Type="http://schemas.openxmlformats.org/officeDocument/2006/relationships/worksheet" Target="/xl/worksheets/sheet7.xml" Id="R63d35d42c35b45e7" /><Relationship Type="http://schemas.openxmlformats.org/officeDocument/2006/relationships/worksheet" Target="/xl/worksheets/sheet8.xml" Id="R60b2f4a68e3f4f5f" /><Relationship Type="http://schemas.openxmlformats.org/officeDocument/2006/relationships/worksheet" Target="/xl/worksheets/sheet9.xml" Id="R45bef84a975146ae" /><Relationship Type="http://schemas.openxmlformats.org/officeDocument/2006/relationships/worksheet" Target="/xl/worksheets/sheet10.xml" Id="Ra6487792da5c416e" /><Relationship Type="http://schemas.openxmlformats.org/officeDocument/2006/relationships/worksheet" Target="/xl/worksheets/sheet11.xml" Id="R696bf202aa374ad0" /><Relationship Type="http://schemas.openxmlformats.org/officeDocument/2006/relationships/worksheet" Target="/xl/worksheets/sheet12.xml" Id="R060052fd2b094491" /><Relationship Type="http://schemas.openxmlformats.org/officeDocument/2006/relationships/worksheet" Target="/xl/worksheets/sheet13.xml" Id="R30fefb3feced4a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2e9051194c43f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Distribuição de status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'01_Resumo'!$A$5:$A$11</c:f>
              <c:strCache>
                <c:ptCount val="0"/>
              </c:strCache>
            </c:strRef>
          </c:cat>
          <c:val>
            <c:numRef>
              <c:f>'01_Resumo'!$B$5:$B$11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2e9051194c43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02EntradaGlobalTable" displayName="02EntradaGlobalTable" ref="A4:U31" headerRowCount="1">
  <x:tableColumns count="21">
    <x:tableColumn id="1" name="Ordem"/>
    <x:tableColumn id="2" name="ID"/>
    <x:tableColumn id="3" name="Tela / componente"/>
    <x:tableColumn id="4" name="Estado / cenário"/>
    <x:tableColumn id="5" name="Categoria"/>
    <x:tableColumn id="6" name="Prioridade"/>
    <x:tableColumn id="7" name="Pré-condições"/>
    <x:tableColumn id="8" name="Passo a passo"/>
    <x:tableColumn id="9" name="Resultado esperado"/>
    <x:tableColumn id="10" name="Referência design / código"/>
    <x:tableColumn id="11" name="Ação / alvo"/>
    <x:tableColumn id="12" name="X base 390"/>
    <x:tableColumn id="13" name="Y base 820"/>
    <x:tableColumn id="14" name="X device"/>
    <x:tableColumn id="15" name="Y device"/>
    <x:tableColumn id="16" name="Seletor preferencial"/>
    <x:tableColumn id="17" name="Evidência esperada"/>
    <x:tableColumn id="18" name="Status"/>
    <x:tableColumn id="19" name="Bug GitHub"/>
    <x:tableColumn id="20" name="Observações"/>
    <x:tableColumn id="21" name="Bloqueador / dependência"/>
  </x:tableColumns>
  <x:tableStyleInfo name="TableStyleMedium2" showRowStripes="1"/>
</x:table>
</file>

<file path=xl/tables/table2.xml><?xml version="1.0" encoding="utf-8"?>
<x:table xmlns:x="http://schemas.openxmlformats.org/spreadsheetml/2006/main" id="2" name="03InicioTable" displayName="03InicioTable" ref="A4:U25" headerRowCount="1">
  <x:tableColumns count="21">
    <x:tableColumn id="1" name="Ordem"/>
    <x:tableColumn id="2" name="ID"/>
    <x:tableColumn id="3" name="Tela / componente"/>
    <x:tableColumn id="4" name="Estado / cenário"/>
    <x:tableColumn id="5" name="Categoria"/>
    <x:tableColumn id="6" name="Prioridade"/>
    <x:tableColumn id="7" name="Pré-condições"/>
    <x:tableColumn id="8" name="Passo a passo"/>
    <x:tableColumn id="9" name="Resultado esperado"/>
    <x:tableColumn id="10" name="Referência design / código"/>
    <x:tableColumn id="11" name="Ação / alvo"/>
    <x:tableColumn id="12" name="X base 390"/>
    <x:tableColumn id="13" name="Y base 820"/>
    <x:tableColumn id="14" name="X device"/>
    <x:tableColumn id="15" name="Y device"/>
    <x:tableColumn id="16" name="Seletor preferencial"/>
    <x:tableColumn id="17" name="Evidência esperada"/>
    <x:tableColumn id="18" name="Status"/>
    <x:tableColumn id="19" name="Bug GitHub"/>
    <x:tableColumn id="20" name="Observações"/>
    <x:tableColumn id="21" name="Bloqueador / dependência"/>
  </x:tableColumns>
  <x:tableStyleInfo name="TableStyleMedium2" showRowStripes="1"/>
</x:table>
</file>

<file path=xl/tables/table3.xml><?xml version="1.0" encoding="utf-8"?>
<x:table xmlns:x="http://schemas.openxmlformats.org/spreadsheetml/2006/main" id="3" name="04VelocidadeTable" displayName="04VelocidadeTable" ref="A4:U28" headerRowCount="1">
  <x:tableColumns count="21">
    <x:tableColumn id="1" name="Ordem"/>
    <x:tableColumn id="2" name="ID"/>
    <x:tableColumn id="3" name="Tela / componente"/>
    <x:tableColumn id="4" name="Estado / cenário"/>
    <x:tableColumn id="5" name="Categoria"/>
    <x:tableColumn id="6" name="Prioridade"/>
    <x:tableColumn id="7" name="Pré-condições"/>
    <x:tableColumn id="8" name="Passo a passo"/>
    <x:tableColumn id="9" name="Resultado esperado"/>
    <x:tableColumn id="10" name="Referência design / código"/>
    <x:tableColumn id="11" name="Ação / alvo"/>
    <x:tableColumn id="12" name="X base 390"/>
    <x:tableColumn id="13" name="Y base 820"/>
    <x:tableColumn id="14" name="X device"/>
    <x:tableColumn id="15" name="Y device"/>
    <x:tableColumn id="16" name="Seletor preferencial"/>
    <x:tableColumn id="17" name="Evidência esperada"/>
    <x:tableColumn id="18" name="Status"/>
    <x:tableColumn id="19" name="Bug GitHub"/>
    <x:tableColumn id="20" name="Observações"/>
    <x:tableColumn id="21" name="Bloqueador / dependência"/>
  </x:tableColumns>
  <x:tableStyleInfo name="TableStyleMedium2" showRowStripes="1"/>
</x:table>
</file>

<file path=xl/tables/table4.xml><?xml version="1.0" encoding="utf-8"?>
<x:table xmlns:x="http://schemas.openxmlformats.org/spreadsheetml/2006/main" id="4" name="05SinalTable" displayName="05SinalTable" ref="A4:U25" headerRowCount="1">
  <x:tableColumns count="21">
    <x:tableColumn id="1" name="Ordem"/>
    <x:tableColumn id="2" name="ID"/>
    <x:tableColumn id="3" name="Tela / componente"/>
    <x:tableColumn id="4" name="Estado / cenário"/>
    <x:tableColumn id="5" name="Categoria"/>
    <x:tableColumn id="6" name="Prioridade"/>
    <x:tableColumn id="7" name="Pré-condições"/>
    <x:tableColumn id="8" name="Passo a passo"/>
    <x:tableColumn id="9" name="Resultado esperado"/>
    <x:tableColumn id="10" name="Referência design / código"/>
    <x:tableColumn id="11" name="Ação / alvo"/>
    <x:tableColumn id="12" name="X base 390"/>
    <x:tableColumn id="13" name="Y base 820"/>
    <x:tableColumn id="14" name="X device"/>
    <x:tableColumn id="15" name="Y device"/>
    <x:tableColumn id="16" name="Seletor preferencial"/>
    <x:tableColumn id="17" name="Evidência esperada"/>
    <x:tableColumn id="18" name="Status"/>
    <x:tableColumn id="19" name="Bug GitHub"/>
    <x:tableColumn id="20" name="Observações"/>
    <x:tableColumn id="21" name="Bloqueador / dependência"/>
  </x:tableColumns>
  <x:tableStyleInfo name="TableStyleMedium2" showRowStripes="1"/>
</x:table>
</file>

<file path=xl/tables/table5.xml><?xml version="1.0" encoding="utf-8"?>
<x:table xmlns:x="http://schemas.openxmlformats.org/spreadsheetml/2006/main" id="5" name="06HistoricoTable" displayName="06HistoricoTable" ref="A4:U19" headerRowCount="1">
  <x:tableColumns count="21">
    <x:tableColumn id="1" name="Ordem"/>
    <x:tableColumn id="2" name="ID"/>
    <x:tableColumn id="3" name="Tela / componente"/>
    <x:tableColumn id="4" name="Estado / cenário"/>
    <x:tableColumn id="5" name="Categoria"/>
    <x:tableColumn id="6" name="Prioridade"/>
    <x:tableColumn id="7" name="Pré-condições"/>
    <x:tableColumn id="8" name="Passo a passo"/>
    <x:tableColumn id="9" name="Resultado esperado"/>
    <x:tableColumn id="10" name="Referência design / código"/>
    <x:tableColumn id="11" name="Ação / alvo"/>
    <x:tableColumn id="12" name="X base 390"/>
    <x:tableColumn id="13" name="Y base 820"/>
    <x:tableColumn id="14" name="X device"/>
    <x:tableColumn id="15" name="Y device"/>
    <x:tableColumn id="16" name="Seletor preferencial"/>
    <x:tableColumn id="17" name="Evidência esperada"/>
    <x:tableColumn id="18" name="Status"/>
    <x:tableColumn id="19" name="Bug GitHub"/>
    <x:tableColumn id="20" name="Observações"/>
    <x:tableColumn id="21" name="Bloqueador / dependência"/>
  </x:tableColumns>
  <x:tableStyleInfo name="TableStyleMedium2" showRowStripes="1"/>
</x:table>
</file>

<file path=xl/tables/table6.xml><?xml version="1.0" encoding="utf-8"?>
<x:table xmlns:x="http://schemas.openxmlformats.org/spreadsheetml/2006/main" id="6" name="07PerfilFerramentasTable" displayName="07PerfilFerramentasTable" ref="A4:U28" headerRowCount="1">
  <x:tableColumns count="21">
    <x:tableColumn id="1" name="Ordem"/>
    <x:tableColumn id="2" name="ID"/>
    <x:tableColumn id="3" name="Tela / componente"/>
    <x:tableColumn id="4" name="Estado / cenário"/>
    <x:tableColumn id="5" name="Categoria"/>
    <x:tableColumn id="6" name="Prioridade"/>
    <x:tableColumn id="7" name="Pré-condições"/>
    <x:tableColumn id="8" name="Passo a passo"/>
    <x:tableColumn id="9" name="Resultado esperado"/>
    <x:tableColumn id="10" name="Referência design / código"/>
    <x:tableColumn id="11" name="Ação / alvo"/>
    <x:tableColumn id="12" name="X base 390"/>
    <x:tableColumn id="13" name="Y base 820"/>
    <x:tableColumn id="14" name="X device"/>
    <x:tableColumn id="15" name="Y device"/>
    <x:tableColumn id="16" name="Seletor preferencial"/>
    <x:tableColumn id="17" name="Evidência esperada"/>
    <x:tableColumn id="18" name="Status"/>
    <x:tableColumn id="19" name="Bug GitHub"/>
    <x:tableColumn id="20" name="Observações"/>
    <x:tableColumn id="21" name="Bloqueador / dependência"/>
  </x:tableColumns>
  <x:tableStyleInfo name="TableStyleMedium2" showRowStripes="1"/>
</x:table>
</file>

<file path=xl/tables/table7.xml><?xml version="1.0" encoding="utf-8"?>
<x:table xmlns:x="http://schemas.openxmlformats.org/spreadsheetml/2006/main" id="7" name="08OverlaysDetalhesTable" displayName="08OverlaysDetalhesTable" ref="A4:U36" headerRowCount="1">
  <x:tableColumns count="21">
    <x:tableColumn id="1" name="Ordem"/>
    <x:tableColumn id="2" name="ID"/>
    <x:tableColumn id="3" name="Tela / componente"/>
    <x:tableColumn id="4" name="Estado / cenário"/>
    <x:tableColumn id="5" name="Categoria"/>
    <x:tableColumn id="6" name="Prioridade"/>
    <x:tableColumn id="7" name="Pré-condições"/>
    <x:tableColumn id="8" name="Passo a passo"/>
    <x:tableColumn id="9" name="Resultado esperado"/>
    <x:tableColumn id="10" name="Referência design / código"/>
    <x:tableColumn id="11" name="Ação / alvo"/>
    <x:tableColumn id="12" name="X base 390"/>
    <x:tableColumn id="13" name="Y base 820"/>
    <x:tableColumn id="14" name="X device"/>
    <x:tableColumn id="15" name="Y device"/>
    <x:tableColumn id="16" name="Seletor preferencial"/>
    <x:tableColumn id="17" name="Evidência esperada"/>
    <x:tableColumn id="18" name="Status"/>
    <x:tableColumn id="19" name="Bug GitHub"/>
    <x:tableColumn id="20" name="Observações"/>
    <x:tableColumn id="21" name="Bloqueador / dependência"/>
  </x:tableColumns>
  <x:tableStyleInfo name="TableStyleMedium2" showRowStripes="1"/>
</x:table>
</file>

<file path=xl/tables/table8.xml><?xml version="1.0" encoding="utf-8"?>
<x:table xmlns:x="http://schemas.openxmlformats.org/spreadsheetml/2006/main" id="8" name="09FluxosE2ETable" displayName="09FluxosE2ETable" ref="A4:U18" headerRowCount="1">
  <x:tableColumns count="21">
    <x:tableColumn id="1" name="Ordem"/>
    <x:tableColumn id="2" name="ID"/>
    <x:tableColumn id="3" name="Tela / componente"/>
    <x:tableColumn id="4" name="Estado / cenário"/>
    <x:tableColumn id="5" name="Categoria"/>
    <x:tableColumn id="6" name="Prioridade"/>
    <x:tableColumn id="7" name="Pré-condições"/>
    <x:tableColumn id="8" name="Passo a passo"/>
    <x:tableColumn id="9" name="Resultado esperado"/>
    <x:tableColumn id="10" name="Referência design / código"/>
    <x:tableColumn id="11" name="Ação / alvo"/>
    <x:tableColumn id="12" name="X base 390"/>
    <x:tableColumn id="13" name="Y base 820"/>
    <x:tableColumn id="14" name="X device"/>
    <x:tableColumn id="15" name="Y device"/>
    <x:tableColumn id="16" name="Seletor preferencial"/>
    <x:tableColumn id="17" name="Evidência esperada"/>
    <x:tableColumn id="18" name="Status"/>
    <x:tableColumn id="19" name="Bug GitHub"/>
    <x:tableColumn id="20" name="Observações"/>
    <x:tableColumn id="21" name="Bloqueador / dependência"/>
  </x:tableColumns>
  <x:tableStyleInfo name="TableStyleMedium2" showRowStripes="1"/>
</x:table>
</file>

<file path=xl/tables/table9.xml><?xml version="1.0" encoding="utf-8"?>
<x:table xmlns:x="http://schemas.openxmlformats.org/spreadsheetml/2006/main" id="9" name="DesignTokensTable" displayName="DesignTokensTable" ref="A4:J31" headerRowCount="1">
  <x:tableColumns count="10">
    <x:tableColumn id="1" name="ID"/>
    <x:tableColumn id="2" name="Grupo"/>
    <x:tableColumn id="3" name="Token / regra"/>
    <x:tableColumn id="4" name="Claro esperado"/>
    <x:tableColumn id="5" name="Escuro esperado"/>
    <x:tableColumn id="6" name="Como validar"/>
    <x:tableColumn id="7" name="Telas mínimas"/>
    <x:tableColumn id="8" name="Prioridade"/>
    <x:tableColumn id="9" name="Status"/>
    <x:tableColumn id="10" name="Observações"/>
  </x:tableColumns>
  <x:tableStyleInfo name="TableStyleMedium2" showRowStripes="1"/>
</x:table>
</file>

<file path=xl/tables/table10.xml><?xml version="1.0" encoding="utf-8"?>
<x:table xmlns:x="http://schemas.openxmlformats.org/spreadsheetml/2006/main" id="10" name="BugQueueTable" displayName="BugQueueTable" ref="A4:N34" headerRowCount="1">
  <x:tableColumns count="14">
    <x:tableColumn id="1" name="Ordem"/>
    <x:tableColumn id="2" name="IDs de teste"/>
    <x:tableColumn id="3" name="Tela"/>
    <x:tableColumn id="4" name="Resumo do defeito"/>
    <x:tableColumn id="5" name="Severidade"/>
    <x:tableColumn id="6" name="Reprodução"/>
    <x:tableColumn id="7" name="Esperado"/>
    <x:tableColumn id="8" name="Atual"/>
    <x:tableColumn id="9" name="Commit/APK"/>
    <x:tableColumn id="10" name="Ambiente"/>
    <x:tableColumn id="11" name="Evidências"/>
    <x:tableColumn id="12" name="Issue existente?"/>
    <x:tableColumn id="13" name="URL GitHub"/>
    <x:tableColumn id="14" name="Status triagem"/>
  </x:tableColumns>
  <x:tableStyleInfo name="TableStyleMedium2" showRowStripes="1"/>
</x:table>
</file>

<file path=xl/tables/table11.xml><?xml version="1.0" encoding="utf-8"?>
<x:table xmlns:x="http://schemas.openxmlformats.org/spreadsheetml/2006/main" id="11" name="AdbCommandsTable" displayName="AdbCommandsTable" ref="A4:F32" headerRowCount="1">
  <x:tableColumns count="6">
    <x:tableColumn id="1" name="Ordem"/>
    <x:tableColumn id="2" name="Fase"/>
    <x:tableColumn id="3" name="Objetivo"/>
    <x:tableColumn id="4" name="Comando"/>
    <x:tableColumn id="5" name="Saída esperada"/>
    <x:tableColumn id="6" name="Arquivo/evidênci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565f8933a314d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3154daf54e4d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48848a05aa4c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5cf0ba92e7c423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ecdf888512b4cb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ed6d923fad425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9277a4fa3df40d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a4c501c8d28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de08b14de0a4c7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b536a19e1194d3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f72bff9e77d444f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.xml" Id="R474a27238c8745b5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54" hidden="0" customWidth="1"/>
    <x:col min="3" max="3" width="58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81" t="str">
        <x:v>Caderno de Testes — SignallQ Android</x:v>
      </x:c>
      <x:c r="B1" s="81"/>
      <x:c r="C1" s="81"/>
      <x:c r="D1" s="81"/>
      <x:c r="E1" s="81"/>
      <x:c r="F1" s="81"/>
      <x:c r="G1" s="81"/>
      <x:c r="H1" s="81"/>
    </x:row>
    <x:row r="2" ht="34" customHeight="1">
      <x:c r="A2" s="13" t="str">
        <x:v>Execução assistida por IA • Pixel 10 AVD • design To-Be + funcionalidade do código atual • bugs no GitHub somente após reteste</x:v>
      </x:c>
      <x:c r="B2" s="13"/>
      <x:c r="C2" s="13"/>
      <x:c r="D2" s="13"/>
      <x:c r="E2" s="13"/>
      <x:c r="F2" s="13"/>
      <x:c r="G2" s="13"/>
      <x:c r="H2" s="13"/>
    </x:row>
    <x:row r="3">
      <x:c r="A3" s="21"/>
      <x:c r="B3" s="21"/>
      <x:c r="C3" s="21"/>
      <x:c r="D3" s="21"/>
      <x:c r="E3" s="21"/>
      <x:c r="F3" s="21"/>
      <x:c r="G3" s="21"/>
      <x:c r="H3" s="21"/>
    </x:row>
    <x:row r="4" ht="38" customHeight="1">
      <x:c r="A4" s="20" t="str">
        <x:v>REGRA ZERO</x:v>
      </x:c>
      <x:c r="B4" s="21" t="str">
        <x:v>Ligue os logs ANTES de abrir o app. Se logcat não estiver ativo, o teste não começou.</x:v>
      </x:c>
      <x:c r="C4" s="21"/>
      <x:c r="D4" s="21"/>
      <x:c r="E4" s="21"/>
      <x:c r="F4" s="21"/>
      <x:c r="G4" s="21"/>
      <x:c r="H4" s="21"/>
    </x:row>
    <x:row r="5" ht="38" customHeight="1">
      <x:c r="A5" s="20" t="str">
        <x:v>Fonte de design</x:v>
      </x:c>
      <x:c r="B5" s="21" t="str">
        <x:v>C:\Users\luizg\Documents\7Agents\Claude Design\SignallQ Design System — telas To-Be em tobe/ e componentes _preview/_ds_bundle.js</x:v>
      </x:c>
      <x:c r="C5" s="21"/>
      <x:c r="D5" s="21"/>
      <x:c r="E5" s="21"/>
      <x:c r="F5" s="21"/>
      <x:c r="G5" s="21"/>
      <x:c r="H5" s="21"/>
    </x:row>
    <x:row r="6" ht="38" customHeight="1">
      <x:c r="A6" s="20" t="str">
        <x:v>Fonte de código</x:v>
      </x:c>
      <x:c r="B6" s="21" t="str">
        <x:v>https://github.com/gmmattey/linka-android — main — inspeção em 15/07/2026; registrar o HEAD real antes da execução</x:v>
      </x:c>
      <x:c r="C6" s="21"/>
      <x:c r="D6" s="21"/>
      <x:c r="E6" s="21"/>
      <x:c r="F6" s="21"/>
      <x:c r="G6" s="21"/>
      <x:c r="H6" s="21"/>
    </x:row>
    <x:row r="7" ht="38" customHeight="1">
      <x:c r="A7" s="20" t="str">
        <x:v>Pacote Android</x:v>
      </x:c>
      <x:c r="B7" s="21" t="str">
        <x:v>io.signallq.app</x:v>
      </x:c>
      <x:c r="C7" s="21"/>
      <x:c r="D7" s="21"/>
      <x:c r="E7" s="21"/>
      <x:c r="F7" s="21"/>
      <x:c r="G7" s="21"/>
      <x:c r="H7" s="21"/>
    </x:row>
    <x:row r="8" ht="38" customHeight="1">
      <x:c r="A8" s="20" t="str">
        <x:v>Alvo recomendado</x:v>
      </x:c>
      <x:c r="B8" s="21" t="str">
        <x:v>Pixel 10 AVD, API 36; executar ao menos navegação por gestos e por 3 botões.</x:v>
      </x:c>
      <x:c r="C8" s="21"/>
      <x:c r="D8" s="21"/>
      <x:c r="E8" s="21"/>
      <x:c r="F8" s="21"/>
      <x:c r="G8" s="21"/>
      <x:c r="H8" s="21"/>
    </x:row>
    <x:row r="9" ht="38" customHeight="1">
      <x:c r="A9" s="20" t="str">
        <x:v>Ordem recomendada</x:v>
      </x:c>
      <x:c r="B9" s="21" t="str">
        <x:v>02 Entrada → 03 Início → 04 Velocidade → 05 Sinal → 06 Histórico → 07 Perfil/Ferramentas → 08 Overlays → 09 E2E.</x:v>
      </x:c>
      <x:c r="C9" s="21"/>
      <x:c r="D9" s="21"/>
      <x:c r="E9" s="21"/>
      <x:c r="F9" s="21"/>
      <x:c r="G9" s="21"/>
      <x:c r="H9" s="21"/>
    </x:row>
    <x:row r="10" ht="38" customHeight="1">
      <x:c r="A10" s="20" t="str">
        <x:v>Status permitidos</x:v>
      </x:c>
      <x:c r="B10" s="21" t="str">
        <x:v>Não iniciado • Em execução • Passou • Falhou • Bloqueado • N/A</x:v>
      </x:c>
      <x:c r="C10" s="21"/>
      <x:c r="D10" s="21"/>
      <x:c r="E10" s="21"/>
      <x:c r="F10" s="21"/>
      <x:c r="G10" s="21"/>
      <x:c r="H10" s="21"/>
    </x:row>
    <x:row r="11" ht="38" customHeight="1">
      <x:c r="A11" s="20" t="str">
        <x:v>Critério de bug</x:v>
      </x:c>
      <x:c r="B11" s="21" t="str">
        <x:v>Falha reproduzida 2x, não explicada por massa/ambiente, pesquisada contra issues existentes e acompanhada de evidência.</x:v>
      </x:c>
      <x:c r="C11" s="21"/>
      <x:c r="D11" s="21"/>
      <x:c r="E11" s="21"/>
      <x:c r="F11" s="21"/>
      <x:c r="G11" s="21"/>
      <x:c r="H11" s="21"/>
    </x:row>
    <x:row r="12">
      <x:c r="A12" s="28" t="str">
        <x:v>Calibração obrigatória de coordenadas</x:v>
      </x:c>
      <x:c r="B12" s="28"/>
      <x:c r="C12" s="28"/>
      <x:c r="D12" s="28"/>
      <x:c r="E12" s="28" t="str">
        <x:v>Índice rápido</x:v>
      </x:c>
      <x:c r="F12" s="28"/>
      <x:c r="G12" s="28"/>
      <x:c r="H12" s="28"/>
    </x:row>
    <x:row r="13">
      <x:c r="A13" s="40" t="str">
        <x:v>Largura de referência</x:v>
      </x:c>
      <x:c r="B13" s="36" t="n">
        <x:v>390</x:v>
      </x:c>
      <x:c r="C13" s="36" t="str">
        <x:v>px</x:v>
      </x:c>
      <x:c r="D13" s="36" t="str">
        <x:v>PhoneFrame To-Be</x:v>
      </x:c>
      <x:c r="E13" s="47" t="str">
        <x:v>01_Resumo</x:v>
      </x:c>
      <x:c r="F13" s="36" t="str">
        <x:v>KPIs e gate de aceite</x:v>
      </x:c>
      <x:c r="G13" s="21"/>
      <x:c r="H13" s="21"/>
    </x:row>
    <x:row r="14">
      <x:c r="A14" s="40" t="str">
        <x:v>Altura de referência</x:v>
      </x:c>
      <x:c r="B14" s="36" t="n">
        <x:v>820</x:v>
      </x:c>
      <x:c r="C14" s="36" t="str">
        <x:v>px</x:v>
      </x:c>
      <x:c r="D14" s="36" t="str">
        <x:v>PhoneFrame To-Be</x:v>
      </x:c>
      <x:c r="E14" s="47" t="str">
        <x:v>02_Entrada_Global</x:v>
      </x:c>
      <x:c r="F14" s="36" t="str">
        <x:v>Entrada, ambiente, onboarding e regras globais</x:v>
      </x:c>
      <x:c r="G14" s="21"/>
      <x:c r="H14" s="21"/>
    </x:row>
    <x:row r="15">
      <x:c r="A15" s="40" t="str">
        <x:v>Largura real do screenshot</x:v>
      </x:c>
      <x:c r="B15" s="44" t="n">
        <x:v>390</x:v>
      </x:c>
      <x:c r="C15" s="36" t="str">
        <x:v>px</x:v>
      </x:c>
      <x:c r="D15" s="36" t="str">
        <x:v>ATUALIZAR com adb exec-out screencap / wm size</x:v>
      </x:c>
      <x:c r="E15" s="47" t="str">
        <x:v>03_Inicio</x:v>
      </x:c>
      <x:c r="F15" s="36" t="str">
        <x:v>Tela Início e componentes relacionados</x:v>
      </x:c>
      <x:c r="G15" s="21"/>
      <x:c r="H15" s="21"/>
    </x:row>
    <x:row r="16">
      <x:c r="A16" s="40" t="str">
        <x:v>Altura real do screenshot</x:v>
      </x:c>
      <x:c r="B16" s="44" t="n">
        <x:v>820</x:v>
      </x:c>
      <x:c r="C16" s="36" t="str">
        <x:v>px</x:v>
      </x:c>
      <x:c r="D16" s="36" t="str">
        <x:v>ATUALIZAR com a imagem real, descontando apenas se o executor usar viewport recortado</x:v>
      </x:c>
      <x:c r="E16" s="47" t="str">
        <x:v>04_Velocidade</x:v>
      </x:c>
      <x:c r="F16" s="36" t="str">
        <x:v>Velocidade, execução e resultado</x:v>
      </x:c>
      <x:c r="G16" s="21"/>
      <x:c r="H16" s="21"/>
    </x:row>
    <x:row r="17">
      <x:c r="A17" s="40" t="str">
        <x:v>Densidade real</x:v>
      </x:c>
      <x:c r="B17" s="44" t="str"/>
      <x:c r="C17" s="36" t="str">
        <x:v>dpi</x:v>
      </x:c>
      <x:c r="D17" s="36" t="str">
        <x:v>ATUALIZAR com adb shell wm density</x:v>
      </x:c>
      <x:c r="E17" s="47" t="str">
        <x:v>05_Sinal</x:v>
      </x:c>
      <x:c r="F17" s="36" t="str">
        <x:v>Sinal Wi-Fi, canais, móvel e topologia</x:v>
      </x:c>
      <x:c r="G17" s="21"/>
      <x:c r="H17" s="21"/>
    </x:row>
    <x:row r="18" ht="34" customHeight="1">
      <x:c r="A18" s="13" t="str">
        <x:v>Fórmula usada em todas as abas: X_device = X_base × largura_real / 390; Y_device = Y_base × altura_real / 820. Coordenadas são apenas fallback. Prefira texto, contentDescription, resource-id ou UIAutomator. Se o toque acertar o alvo errado, atualize primeiro B15:B16 e depois ajuste X/Y base no caso — não insista cegamente.</x:v>
      </x:c>
      <x:c r="B18" s="13"/>
      <x:c r="C18" s="13"/>
      <x:c r="D18" s="13"/>
      <x:c r="E18" s="47" t="str">
        <x:v>06_Historico</x:v>
      </x:c>
      <x:c r="F18" s="36" t="str">
        <x:v>Histórico, filtros, detalhes e exportação</x:v>
      </x:c>
      <x:c r="G18" s="21"/>
      <x:c r="H18" s="21"/>
    </x:row>
    <x:row r="19" ht="34" customHeight="1">
      <x:c r="A19" s="13"/>
      <x:c r="B19" s="13"/>
      <x:c r="C19" s="13"/>
      <x:c r="D19" s="13"/>
      <x:c r="E19" s="47" t="str">
        <x:v>07_Perfil_Ferramentas</x:v>
      </x:c>
      <x:c r="F19" s="36" t="str">
        <x:v>Perfil/Ajustes e hub Ferramentas</x:v>
      </x:c>
      <x:c r="G19" s="21"/>
      <x:c r="H19" s="21"/>
    </x:row>
    <x:row r="20">
      <x:c r="A20" s="21"/>
      <x:c r="B20" s="21"/>
      <x:c r="C20" s="21"/>
      <x:c r="D20" s="21"/>
      <x:c r="E20" s="47" t="str">
        <x:v>08_Overlays_Detalhes</x:v>
      </x:c>
      <x:c r="F20" s="36" t="str">
        <x:v>Telas sobrepostas, detalhes e estados de erro</x:v>
      </x:c>
      <x:c r="G20" s="21"/>
      <x:c r="H20" s="21"/>
    </x:row>
    <x:row r="21">
      <x:c r="A21" s="28" t="str">
        <x:v>Protocolo de execução da IA</x:v>
      </x:c>
      <x:c r="B21" s="28"/>
      <x:c r="C21" s="28"/>
      <x:c r="D21" s="28"/>
      <x:c r="E21" s="78" t="str">
        <x:v>09_Fluxos_E2E</x:v>
      </x:c>
      <x:c r="F21" s="74" t="str">
        <x:v>Jornadas completas e regressão cruzada</x:v>
      </x:c>
      <x:c r="G21" s="28"/>
      <x:c r="H21" s="28"/>
    </x:row>
    <x:row r="22">
      <x:c r="A22" s="47" t="str">
        <x:v>1</x:v>
      </x:c>
      <x:c r="B22" s="50" t="str">
        <x:v>Preparar</x:v>
      </x:c>
      <x:c r="C22" s="36" t="str">
        <x:v>Criar pasta artifacts/&lt;data&gt;-&lt;commit&gt;; registrar commit, APK, AVD, API, dimensões, densidade, font_scale e modo de navegação.</x:v>
      </x:c>
      <x:c r="D22" s="21"/>
      <x:c r="E22" s="47" t="str">
        <x:v>10_Tokens_Design</x:v>
      </x:c>
      <x:c r="F22" s="36" t="str">
        <x:v>Checklist visual/token por token</x:v>
      </x:c>
      <x:c r="G22" s="21"/>
      <x:c r="H22" s="21"/>
    </x:row>
    <x:row r="23">
      <x:c r="A23" s="47" t="str">
        <x:v>2</x:v>
      </x:c>
      <x:c r="B23" s="50" t="str">
        <x:v>Logs</x:v>
      </x:c>
      <x:c r="C23" s="36" t="str">
        <x:v>Limpar e iniciar logcat completo. Abrir app. Obter PID e iniciar logcat do app. Manter ambos até o fim.</x:v>
      </x:c>
      <x:c r="D23" s="21"/>
      <x:c r="E23" s="47" t="str">
        <x:v>11_Bugs_GitHub</x:v>
      </x:c>
      <x:c r="F23" s="36" t="str">
        <x:v>Fila e template de issues</x:v>
      </x:c>
      <x:c r="G23" s="21"/>
      <x:c r="H23" s="21"/>
    </x:row>
    <x:row r="24">
      <x:c r="A24" s="47" t="str">
        <x:v>3</x:v>
      </x:c>
      <x:c r="B24" s="50" t="str">
        <x:v>Executar por tela</x:v>
      </x:c>
      <x:c r="C24" s="36" t="str">
        <x:v>Não pule entre abas. Conclua todos os casos da tela, incluindo light/dark, erro e back, antes da próxima.</x:v>
      </x:c>
      <x:c r="D24" s="21"/>
      <x:c r="E24" s="47" t="str">
        <x:v>12_ADB_Comandos</x:v>
      </x:c>
      <x:c r="F24" s="36" t="str">
        <x:v>Comandos de setup, logs e evidências</x:v>
      </x:c>
      <x:c r="G24" s="21"/>
      <x:c r="H24" s="21"/>
    </x:row>
    <x:row r="25">
      <x:c r="A25" s="47" t="str">
        <x:v>4</x:v>
      </x:c>
      <x:c r="B25" s="50" t="str">
        <x:v>Evidência</x:v>
      </x:c>
      <x:c r="C25" s="36" t="str">
        <x:v>Para cada Falhou/Bloqueado: screenshot, UI XML, timestamp, recorte de log e resultado atual. Para P0 Passou, ao menos screenshot ou log.</x:v>
      </x:c>
      <x:c r="D25" s="21"/>
      <x:c r="E25" s="21"/>
      <x:c r="F25" s="21"/>
      <x:c r="G25" s="21"/>
      <x:c r="H25" s="21"/>
    </x:row>
    <x:row r="26">
      <x:c r="A26" s="47" t="str">
        <x:v>5</x:v>
      </x:c>
      <x:c r="B26" s="50" t="str">
        <x:v>Reteste</x:v>
      </x:c>
      <x:c r="C26" s="36" t="str">
        <x:v>Falhou → force-stop → restaurar precondições → repetir duas vezes. Se for intermitente, registrar taxa de reprodução.</x:v>
      </x:c>
      <x:c r="D26" s="21"/>
      <x:c r="E26" s="21"/>
      <x:c r="F26" s="21"/>
      <x:c r="G26" s="21"/>
      <x:c r="H26" s="21"/>
    </x:row>
    <x:row r="27">
      <x:c r="A27" s="47" t="str">
        <x:v>6</x:v>
      </x:c>
      <x:c r="B27" s="50" t="str">
        <x:v>Triagem</x:v>
      </x:c>
      <x:c r="C27" s="36" t="str">
        <x:v>Separar bug de ambiente, massa indisponível, gap conhecido/TODO e divergência real de produto/design.</x:v>
      </x:c>
      <x:c r="D27" s="21"/>
      <x:c r="E27" s="21"/>
      <x:c r="F27" s="21"/>
      <x:c r="G27" s="21"/>
      <x:c r="H27" s="21"/>
    </x:row>
    <x:row r="28">
      <x:c r="A28" s="47" t="str">
        <x:v>7</x:v>
      </x:c>
      <x:c r="B28" s="50" t="str">
        <x:v>GitHub</x:v>
      </x:c>
      <x:c r="C28" s="36" t="str">
        <x:v>Pesquisar issue. Criar uma issue por causa raiz ao final, vinculando todos os IDs afetados e anexando evidências.</x:v>
      </x:c>
      <x:c r="D28" s="21"/>
      <x:c r="E28" s="21"/>
      <x:c r="F28" s="21"/>
      <x:c r="G28" s="21"/>
      <x:c r="H28" s="21"/>
    </x:row>
    <x:row r="29">
      <x:c r="A29" s="21"/>
      <x:c r="B29" s="21"/>
      <x:c r="C29" s="21"/>
      <x:c r="D29" s="21"/>
      <x:c r="E29" s="21"/>
      <x:c r="F29" s="21"/>
      <x:c r="G29" s="21"/>
      <x:c r="H29" s="21"/>
    </x:row>
    <x:row r="30">
      <x:c r="A30" s="28" t="str">
        <x:v>Decisões atuais que prevalecem sobre documentos/mockups antigos</x:v>
      </x:c>
      <x:c r="B30" s="28"/>
      <x:c r="C30" s="28"/>
      <x:c r="D30" s="28"/>
      <x:c r="E30" s="28"/>
      <x:c r="F30" s="28"/>
      <x:c r="G30" s="28"/>
      <x:c r="H30" s="28"/>
    </x:row>
    <x:row r="31">
      <x:c r="A31" s="47" t="str">
        <x:v>Navegação</x:v>
      </x:c>
      <x:c r="B31" s="36" t="str">
        <x:v>5ª aba é Ferramentas; Ajustes/Perfil abre pelo avatar.</x:v>
      </x:c>
      <x:c r="C31" s="36" t="str">
        <x:v>AppShell.kt / GH#930/#933</x:v>
      </x:c>
      <x:c r="D31" s="21"/>
      <x:c r="E31" s="21"/>
      <x:c r="F31" s="21"/>
      <x:c r="G31" s="21"/>
      <x:c r="H31" s="21"/>
    </x:row>
    <x:row r="32">
      <x:c r="A32" s="47" t="str">
        <x:v>Inicialização</x:v>
      </x:c>
      <x:c r="B32" s="36" t="str">
        <x:v>Usuário recorrente abre na aba Velocidade, não na Home.</x:v>
      </x:c>
      <x:c r="C32" s="36" t="str">
        <x:v>AppShell.kt selectedTab=1</x:v>
      </x:c>
      <x:c r="D32" s="21"/>
      <x:c r="E32" s="21"/>
      <x:c r="F32" s="21"/>
      <x:c r="G32" s="21"/>
      <x:c r="H32" s="21"/>
    </x:row>
    <x:row r="33">
      <x:c r="A33" s="47" t="str">
        <x:v>Diagnóstico</x:v>
      </x:c>
      <x:c r="B33" s="36" t="str">
        <x:v>Atalho Diagnóstico abre Laudo. DiagnosticoScreen órfã foi removida.</x:v>
      </x:c>
      <x:c r="C33" s="36" t="str">
        <x:v>commit 4f4bcb...</x:v>
      </x:c>
      <x:c r="D33" s="21"/>
      <x:c r="E33" s="21"/>
      <x:c r="F33" s="21"/>
      <x:c r="G33" s="21"/>
      <x:c r="H33" s="21"/>
    </x:row>
    <x:row r="34">
      <x:c r="A34" s="47" t="str">
        <x:v>IA chat</x:v>
      </x:c>
      <x:c r="B34" s="36" t="str">
        <x:v>Chat/SignallQ standalone foi removido e não deve ser exigido como rota.</x:v>
      </x:c>
      <x:c r="C34" s="36" t="str">
        <x:v>commit c8a2d029...</x:v>
      </x:c>
      <x:c r="D34" s="21"/>
      <x:c r="E34" s="21"/>
      <x:c r="F34" s="21"/>
      <x:c r="G34" s="21"/>
      <x:c r="H34" s="21"/>
    </x:row>
    <x:row r="35">
      <x:c r="A35" s="47" t="str">
        <x:v>DNS</x:v>
      </x:c>
      <x:c r="B35" s="36" t="str">
        <x:v>DNS é tela cheia pelo hub/Home, não bottom sheet legado.</x:v>
      </x:c>
      <x:c r="C35" s="36" t="str">
        <x:v>commit f81c3c...</x:v>
      </x:c>
      <x:c r="D35" s="21"/>
      <x:c r="E35" s="21"/>
      <x:c r="F35" s="21"/>
      <x:c r="G35" s="21"/>
      <x:c r="H35" s="21"/>
    </x:row>
    <x:row r="36">
      <x:c r="A36" s="47" t="str">
        <x:v>Equipamento</x:v>
      </x:c>
      <x:c r="B36" s="36" t="str">
        <x:v>EquipamentoInternetScreen substitui FibraModemScreen Nokia-only.</x:v>
      </x:c>
      <x:c r="C36" s="36" t="str">
        <x:v>commit 4e2dd55...</x:v>
      </x:c>
      <x:c r="D36" s="21"/>
      <x:c r="E36" s="21"/>
      <x:c r="F36" s="21"/>
      <x:c r="G36" s="21"/>
      <x:c r="H36" s="21"/>
    </x:row>
    <x:row r="37">
      <x:c r="A37" s="47" t="str">
        <x:v>Jogos</x:v>
      </x:c>
      <x:c r="B37" s="36" t="str">
        <x:v>Tela ainda é stub conhecido TODO #935; validar estabilidade/navegação, não abrir duplicata só por ser stub.</x:v>
      </x:c>
      <x:c r="C37" s="36"/>
      <x:c r="D37" s="21"/>
      <x:c r="E37" s="21"/>
      <x:c r="F37" s="21"/>
      <x:c r="G37" s="21"/>
      <x:c r="H37" s="21"/>
    </x:row>
    <x:row r="38">
      <x:c r="A38" s="47" t="str">
        <x:v>Tokens</x:v>
      </x:c>
      <x:c r="B38" s="36" t="str">
        <x:v>Usar tobe/theme.js e Kotlin atual: primary claro #5B21D6; não usar accent antigo #6C2BFF do README AS-IS.</x:v>
      </x:c>
      <x:c r="C38" s="36"/>
      <x:c r="D38" s="21"/>
      <x:c r="E38" s="21"/>
      <x:c r="F38" s="21"/>
      <x:c r="G38" s="21"/>
      <x:c r="H38" s="21"/>
    </x:row>
    <x:row r="39">
      <x:c r="A39" s="21"/>
      <x:c r="B39" s="21"/>
      <x:c r="C39" s="21"/>
      <x:c r="D39" s="21"/>
      <x:c r="E39" s="21"/>
      <x:c r="F39" s="21"/>
      <x:c r="G39" s="21"/>
      <x:c r="H39" s="21"/>
    </x:row>
    <x:row r="40">
      <x:c r="A40" s="28" t="str">
        <x:v>Severidade e condição de parada</x:v>
      </x:c>
      <x:c r="B40" s="28"/>
      <x:c r="C40" s="28"/>
      <x:c r="D40" s="28"/>
      <x:c r="E40" s="28"/>
      <x:c r="F40" s="28"/>
      <x:c r="G40" s="28"/>
      <x:c r="H40" s="28"/>
    </x:row>
    <x:row r="41">
      <x:c r="A41" s="47" t="str">
        <x:v>P0 / Crítico</x:v>
      </x:c>
      <x:c r="B41" s="36" t="str">
        <x:v>Crash, ANR, perda/corrupção de dados, credencial exposta, navegação sem saída, resultado falso, fluxo principal impossível.</x:v>
      </x:c>
      <x:c r="C41" s="36" t="str">
        <x:v>Parar a tela afetada, preservar logs e abrir bug após reteste.</x:v>
      </x:c>
      <x:c r="D41" s="21"/>
      <x:c r="E41" s="21"/>
      <x:c r="F41" s="21"/>
      <x:c r="G41" s="21"/>
      <x:c r="H41" s="21"/>
    </x:row>
    <x:row r="42">
      <x:c r="A42" s="47" t="str">
        <x:v>P1 / Alto</x:v>
      </x:c>
      <x:c r="B42" s="36" t="str">
        <x:v>Função relevante quebrada, divergência visual grande, permissão sem recuperação, inconsistência entre telas.</x:v>
      </x:c>
      <x:c r="C42" s="36" t="str">
        <x:v>Continuar casos independentes; bloquear dependentes.</x:v>
      </x:c>
      <x:c r="D42" s="21"/>
      <x:c r="E42" s="21"/>
      <x:c r="F42" s="21"/>
      <x:c r="G42" s="21"/>
      <x:c r="H42" s="21"/>
    </x:row>
    <x:row r="43">
      <x:c r="A43" s="47" t="str">
        <x:v>P2 / Médio</x:v>
      </x:c>
      <x:c r="B43" s="36" t="str">
        <x:v>Problema visual/localizado, copy, estado raro ou alternativa funcional existe.</x:v>
      </x:c>
      <x:c r="C43" s="36" t="str">
        <x:v>Continuar e agrupar por causa raiz.</x:v>
      </x:c>
      <x:c r="D43" s="21"/>
      <x:c r="E43" s="21"/>
      <x:c r="F43" s="21"/>
      <x:c r="G43" s="21"/>
      <x:c r="H43" s="21"/>
    </x:row>
    <x:row r="44">
      <x:c r="A44" s="47" t="str">
        <x:v>P3 / Baixo</x:v>
      </x:c>
      <x:c r="B44" s="36" t="str">
        <x:v>Polimento sem impacto funcional ou de compreensão.</x:v>
      </x:c>
      <x:c r="C44" s="36" t="str">
        <x:v>Registrar somente se reproduzível e não duplicado.</x:v>
      </x:c>
      <x:c r="D44" s="21"/>
      <x:c r="E44" s="21"/>
      <x:c r="F44" s="21"/>
      <x:c r="G44" s="21"/>
      <x:c r="H44" s="21"/>
    </x:row>
    <x:row r="45">
      <x:c r="A45" s="21"/>
      <x:c r="B45" s="21"/>
      <x:c r="C45" s="21"/>
      <x:c r="D45" s="21"/>
      <x:c r="E45" s="21"/>
      <x:c r="F45" s="21"/>
      <x:c r="G45" s="21"/>
      <x:c r="H45" s="21"/>
    </x:row>
    <x:row r="46">
      <x:c r="A46" s="28" t="str">
        <x:v>Referências</x:v>
      </x:c>
      <x:c r="B46" s="28"/>
      <x:c r="C46" s="28"/>
      <x:c r="D46" s="28"/>
      <x:c r="E46" s="28"/>
      <x:c r="F46" s="28"/>
      <x:c r="G46" s="28"/>
      <x:c r="H46" s="28"/>
    </x:row>
    <x:row r="47">
      <x:c r="A47" s="36" t="str">
        <x:v>Repositório</x:v>
      </x:c>
      <x:c r="B47" s="36" t="str">
        <x:v>https://github.com/gmmattey/linka-android</x:v>
      </x:c>
      <x:c r="C47" s="21"/>
      <x:c r="D47" s="21"/>
      <x:c r="E47" s="21"/>
      <x:c r="F47" s="21"/>
      <x:c r="G47" s="21"/>
      <x:c r="H47" s="21"/>
    </x:row>
    <x:row r="48">
      <x:c r="A48" s="36" t="str">
        <x:v>Commit alinhamento Design System</x:v>
      </x:c>
      <x:c r="B48" s="36" t="str">
        <x:v>https://github.com/gmmattey/linka-android/commit/e1aa9f3e3210f38a599c46bd5ba0558f94601a0e</x:v>
      </x:c>
      <x:c r="C48" s="21"/>
      <x:c r="D48" s="21"/>
      <x:c r="E48" s="21"/>
      <x:c r="F48" s="21"/>
      <x:c r="G48" s="21"/>
      <x:c r="H48" s="21"/>
    </x:row>
    <x:row r="49">
      <x:c r="A49" s="36" t="str">
        <x:v>Commit Pixel 10/insets</x:v>
      </x:c>
      <x:c r="B49" s="36" t="str">
        <x:v>https://github.com/gmmattey/linka-android/commit/98414d42982aad171ccfc9af0869c0fc3b8d3f5c</x:v>
      </x:c>
      <x:c r="C49" s="21"/>
      <x:c r="D49" s="21"/>
      <x:c r="E49" s="21"/>
      <x:c r="F49" s="21"/>
      <x:c r="G49" s="21"/>
      <x:c r="H49" s="21"/>
    </x:row>
    <x:row r="50">
      <x:c r="A50" s="36" t="str">
        <x:v>Commit Ferramentas/DNS</x:v>
      </x:c>
      <x:c r="B50" s="36" t="str">
        <x:v>https://github.com/gmmattey/linka-android/commit/f81c3c06705ccf83d061874293459417ab806b3a</x:v>
      </x:c>
      <x:c r="C50" s="21"/>
      <x:c r="D50" s="21"/>
      <x:c r="E50" s="21"/>
      <x:c r="F50" s="21"/>
      <x:c r="G50" s="21"/>
      <x:c r="H50" s="21"/>
    </x:row>
    <x:row r="51">
      <x:c r="A51" s="36" t="str">
        <x:v>Commit Equipamento Internet</x:v>
      </x:c>
      <x:c r="B51" s="36" t="str">
        <x:v>https://github.com/gmmattey/linka-android/commit/4e2dd55cb16662dba3dec8c67599ee422942ccc8</x:v>
      </x:c>
      <x:c r="C51" s="21"/>
      <x:c r="D51" s="21"/>
      <x:c r="E51" s="21"/>
      <x:c r="F51" s="21"/>
      <x:c r="G51" s="21"/>
      <x:c r="H51" s="21"/>
    </x:row>
    <x:row r="52">
      <x:c r="A52" s="36" t="str">
        <x:v>Design local</x:v>
      </x:c>
      <x:c r="B52" s="36" t="str">
        <x:v>C:\Users\luizg\Documents\7Agents\Claude Design\SignallQ Design System</x:v>
      </x:c>
      <x:c r="C52" s="21"/>
      <x:c r="D52" s="21"/>
      <x:c r="E52" s="21"/>
      <x:c r="F52" s="21"/>
      <x:c r="G52" s="21"/>
      <x:c r="H52" s="21"/>
    </x:row>
    <x:row r="53">
      <x:c r="A53" s="21"/>
      <x:c r="B53" s="21"/>
      <x:c r="C53" s="21"/>
      <x:c r="D53" s="21"/>
      <x:c r="E53" s="21"/>
      <x:c r="F53" s="21"/>
      <x:c r="G53" s="21"/>
      <x:c r="H53" s="21"/>
    </x:row>
    <x:row r="54">
      <x:c r="A54" s="21"/>
      <x:c r="B54" s="21"/>
      <x:c r="C54" s="21"/>
      <x:c r="D54" s="21"/>
      <x:c r="E54" s="21"/>
      <x:c r="F54" s="21"/>
      <x:c r="G54" s="21"/>
      <x:c r="H54" s="21"/>
    </x:row>
    <x:row r="55">
      <x:c r="A55" s="21"/>
      <x:c r="B55" s="21"/>
      <x:c r="C55" s="21"/>
      <x:c r="D55" s="21"/>
      <x:c r="E55" s="21"/>
      <x:c r="F55" s="21"/>
      <x:c r="G55" s="21"/>
      <x:c r="H55" s="21"/>
    </x:row>
    <x:row r="56">
      <x:c r="A56" s="21"/>
      <x:c r="B56" s="21"/>
      <x:c r="C56" s="21"/>
      <x:c r="D56" s="21"/>
      <x:c r="E56" s="21"/>
      <x:c r="F56" s="21"/>
      <x:c r="G56" s="21"/>
      <x:c r="H56" s="21"/>
    </x:row>
    <x:row r="57">
      <x:c r="A57" s="21"/>
      <x:c r="B57" s="21"/>
      <x:c r="C57" s="21"/>
      <x:c r="D57" s="21"/>
      <x:c r="E57" s="21"/>
      <x:c r="F57" s="21"/>
      <x:c r="G57" s="21"/>
      <x:c r="H57" s="21"/>
    </x:row>
    <x:row r="58">
      <x:c r="A58" s="21"/>
      <x:c r="B58" s="21"/>
      <x:c r="C58" s="21"/>
      <x:c r="D58" s="21"/>
      <x:c r="E58" s="21"/>
      <x:c r="F58" s="21"/>
      <x:c r="G58" s="21"/>
      <x:c r="H58" s="21"/>
    </x:row>
    <x:row r="59">
      <x:c r="A59" s="21"/>
      <x:c r="B59" s="21"/>
      <x:c r="C59" s="21"/>
      <x:c r="D59" s="21"/>
      <x:c r="E59" s="21"/>
      <x:c r="F59" s="21"/>
      <x:c r="G59" s="21"/>
      <x:c r="H59" s="21"/>
    </x:row>
    <x:row r="60">
      <x:c r="A60" s="21"/>
      <x:c r="B60" s="21"/>
      <x:c r="C60" s="21"/>
      <x:c r="D60" s="21"/>
      <x:c r="E60" s="21"/>
      <x:c r="F60" s="21"/>
      <x:c r="G60" s="21"/>
      <x:c r="H60" s="21"/>
    </x:row>
  </x:sheetData>
  <x:mergeCells>
    <x:mergeCell ref="A1:H1"/>
    <x:mergeCell ref="A2:H2"/>
    <x:mergeCell ref="A12:D12"/>
    <x:mergeCell ref="A18:D19"/>
    <x:mergeCell ref="A21:H21"/>
    <x:mergeCell ref="A30:H30"/>
    <x:mergeCell ref="A40:H40"/>
    <x:mergeCell ref="A46:H46"/>
    <x:mergeCell ref="E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7" hidden="0" customWidth="1"/>
    <x:col min="5" max="5" width="16" hidden="0" customWidth="1"/>
    <x:col min="6" max="6" width="10" hidden="0" customWidth="1"/>
    <x:col min="7" max="7" width="34" hidden="0" customWidth="1"/>
    <x:col min="8" max="8" width="48" hidden="0" customWidth="1"/>
    <x:col min="9" max="9" width="48" hidden="0" customWidth="1"/>
    <x:col min="10" max="10" width="42" hidden="0" customWidth="1"/>
    <x:col min="11" max="11" width="24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32" hidden="0" customWidth="1"/>
    <x:col min="17" max="17" width="28" hidden="0" customWidth="1"/>
    <x:col min="18" max="18" width="16" hidden="0" customWidth="1"/>
    <x:col min="19" max="19" width="20" hidden="0" customWidth="1"/>
    <x:col min="20" max="20" width="34" hidden="0" customWidth="1"/>
    <x:col min="21" max="21" width="27" hidden="0" customWidth="1"/>
  </x:cols>
  <x:sheetData>
    <x:row r="1" ht="32" customHeight="1">
      <x:c r="A1" s="5" t="str">
        <x:v>Entrada, ambiente, onboarding e regras globais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3" t="str">
        <x:v>Execute em ordem. Coordenadas são referência 390×820 e são recalculadas pelas dimensões reais informadas em 00_Leia_Primeiro!B15:B16. Use seletor semântico antes de tap por coordenada.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</x:row>
    <x:row r="4" ht="44" customHeight="1">
      <x:c r="A4" s="28" t="str">
        <x:v>Ordem</x:v>
      </x:c>
      <x:c r="B4" s="28" t="str">
        <x:v>ID</x:v>
      </x:c>
      <x:c r="C4" s="28" t="str">
        <x:v>Tela / componente</x:v>
      </x:c>
      <x:c r="D4" s="28" t="str">
        <x:v>Estado / cenário</x:v>
      </x:c>
      <x:c r="E4" s="28" t="str">
        <x:v>Categoria</x:v>
      </x:c>
      <x:c r="F4" s="28" t="str">
        <x:v>Prioridade</x:v>
      </x:c>
      <x:c r="G4" s="28" t="str">
        <x:v>Pré-condições</x:v>
      </x:c>
      <x:c r="H4" s="28" t="str">
        <x:v>Passo a passo</x:v>
      </x:c>
      <x:c r="I4" s="28" t="str">
        <x:v>Resultado esperado</x:v>
      </x:c>
      <x:c r="J4" s="28" t="str">
        <x:v>Referência design / código</x:v>
      </x:c>
      <x:c r="K4" s="28" t="str">
        <x:v>Ação / alvo</x:v>
      </x:c>
      <x:c r="L4" s="28" t="str">
        <x:v>X base 390</x:v>
      </x:c>
      <x:c r="M4" s="28" t="str">
        <x:v>Y base 820</x:v>
      </x:c>
      <x:c r="N4" s="28" t="str">
        <x:v>X device</x:v>
      </x:c>
      <x:c r="O4" s="28" t="str">
        <x:v>Y device</x:v>
      </x:c>
      <x:c r="P4" s="28" t="str">
        <x:v>Seletor preferencial</x:v>
      </x:c>
      <x:c r="Q4" s="28" t="str">
        <x:v>Evidência esperada</x:v>
      </x:c>
      <x:c r="R4" s="28" t="str">
        <x:v>Status</x:v>
      </x:c>
      <x:c r="S4" s="28" t="str">
        <x:v>Bug GitHub</x:v>
      </x:c>
      <x:c r="T4" s="28" t="str">
        <x:v>Observações</x:v>
      </x:c>
      <x:c r="U4" s="28" t="str">
        <x:v>Bloqueador / dependência</x:v>
      </x:c>
    </x:row>
    <x:row r="5" ht="78" customHeight="1">
      <x:c r="A5" s="52" t="n">
        <x:v>1</x:v>
      </x:c>
      <x:c r="B5" s="36" t="str">
        <x:v>ENV-001</x:v>
      </x:c>
      <x:c r="C5" s="36" t="str">
        <x:v>Ambiente</x:v>
      </x:c>
      <x:c r="D5" s="36" t="str">
        <x:v>Registrar baseline executado</x:v>
      </x:c>
      <x:c r="E5" s="36" t="str">
        <x:v>Ambiente</x:v>
      </x:c>
      <x:c r="F5" s="52" t="str">
        <x:v>P0</x:v>
      </x:c>
      <x:c r="G5" s="36" t="str">
        <x:v>Repositório clonado e AVD disponível</x:v>
      </x:c>
      <x:c r="H5" s="36" t="str">
        <x:v>1. Executar git rev-parse HEAD e git status --short
2. Registrar versionName/versionCode do APK
3. Registrar data/hora, branch, API, modelo AVD e modo de navegação</x:v>
      </x:c>
      <x:c r="I5" s="36" t="str">
        <x:v>Baseline rastreável, repositório limpo ou alterações documentadas; build e ambiente registrados.</x:v>
      </x:c>
      <x:c r="J5" s="36" t="str">
        <x:v>GitHub main + android/app/build.gradle.kts</x:v>
      </x:c>
      <x:c r="K5" s="36" t="str"/>
      <x:c r="L5" s="52"/>
      <x:c r="M5" s="52"/>
      <x:c r="N5" s="52" t="str">
        <x:f>IF(L5="","",ROUND(L5*'00_Leia_Primeiro'!$B$15/'00_Leia_Primeiro'!$B$13,0))</x:f>
      </x:c>
      <x:c r="O5" s="52" t="str">
        <x:f>IF(M5="","",ROUND(M5*'00_Leia_Primeiro'!$B$16/'00_Leia_Primeiro'!$B$14,0))</x:f>
      </x:c>
      <x:c r="P5" s="36" t="str"/>
      <x:c r="Q5" s="36" t="str">
        <x:v>Arquivo artifacts/environment.txt</x:v>
      </x:c>
      <x:c r="R5" s="52" t="str">
        <x:v>Não iniciado</x:v>
      </x:c>
      <x:c r="S5" s="36" t="str"/>
      <x:c r="T5" s="36" t="str"/>
      <x:c r="U5" s="36" t="str"/>
    </x:row>
    <x:row r="6" ht="78" customHeight="1">
      <x:c r="A6" s="52" t="n">
        <x:v>2</x:v>
      </x:c>
      <x:c r="B6" s="36" t="str">
        <x:v>ENV-002</x:v>
      </x:c>
      <x:c r="C6" s="36" t="str">
        <x:v>Pixel 10 AVD</x:v>
      </x:c>
      <x:c r="D6" s="36" t="str">
        <x:v>Validar dispositivo alvo e dimensões</x:v>
      </x:c>
      <x:c r="E6" s="36" t="str">
        <x:v>Ambiente</x:v>
      </x:c>
      <x:c r="F6" s="52" t="str">
        <x:v>P0</x:v>
      </x:c>
      <x:c r="G6" s="36" t="str">
        <x:v>Pixel 10 AVD iniciado</x:v>
      </x:c>
      <x:c r="H6" s="36" t="str">
        <x:v>1. Executar adb devices -l
2. Executar adb shell wm size e adb shell wm density
3. Executar adb shell settings get system font_scale
4. Atualizar B15:B17 na aba 00_Leia_Primeiro com largura, altura e densidade reais</x:v>
      </x:c>
      <x:c r="I6" s="36" t="str">
        <x:v>AVD online, API 36 preferencial; dimensões/densidade registradas e coordenadas calculadas atualizadas.</x:v>
      </x:c>
      <x:c r="J6" s="36" t="str">
        <x:v>Commit 98414d42982aad171ccfc9af0869c0fc3b8d3f5c — Pixel_10 AVD API 36</x:v>
      </x:c>
      <x:c r="K6" s="36" t="str"/>
      <x:c r="L6" s="52"/>
      <x:c r="M6" s="52"/>
      <x:c r="N6" s="52" t="str">
        <x:f>IF(L6="","",ROUND(L6*'00_Leia_Primeiro'!$B$15/'00_Leia_Primeiro'!$B$13,0))</x:f>
      </x:c>
      <x:c r="O6" s="52" t="str">
        <x:f>IF(M6="","",ROUND(M6*'00_Leia_Primeiro'!$B$16/'00_Leia_Primeiro'!$B$14,0))</x:f>
      </x:c>
      <x:c r="P6" s="36" t="str"/>
      <x:c r="Q6" s="36" t="str">
        <x:v>artifacts/device.txt</x:v>
      </x:c>
      <x:c r="R6" s="52" t="str">
        <x:v>Não iniciado</x:v>
      </x:c>
      <x:c r="S6" s="36" t="str"/>
      <x:c r="T6" s="36" t="str"/>
      <x:c r="U6" s="36" t="str"/>
    </x:row>
    <x:row r="7" ht="78" customHeight="1">
      <x:c r="A7" s="52" t="n">
        <x:v>3</x:v>
      </x:c>
      <x:c r="B7" s="36" t="str">
        <x:v>LOG-001</x:v>
      </x:c>
      <x:c r="C7" s="36" t="str">
        <x:v>Aplicativo inteiro</x:v>
      </x:c>
      <x:c r="D7" s="36" t="str">
        <x:v>Iniciar logcat antes do teste</x:v>
      </x:c>
      <x:c r="E7" s="36" t="str">
        <x:v>Logs</x:v>
      </x:c>
      <x:c r="F7" s="52" t="str">
        <x:v>P0</x:v>
      </x:c>
      <x:c r="G7" s="36" t="str">
        <x:v>ADB conectado; diretório artifacts criado</x:v>
      </x:c>
      <x:c r="H7" s="36" t="str">
        <x:v>1. Executar adb logcat -c
2. Iniciar captura completa com timestamp em artifacts/logcat_full.txt
3. Abrir o app somente após a captura estar ativa
4. Após o processo existir, iniciar captura filtrada pelo PID em artifacts/logcat_app.txt</x:v>
      </x:c>
      <x:c r="I7" s="36" t="str">
        <x:v>Dois logs ativos desde antes do cold start; nenhuma etapa funcional executada sem logging.</x:v>
      </x:c>
      <x:c r="J7" s="36" t="str">
        <x:v>Solicitação do produto + ADR-001 Timber Logging</x:v>
      </x:c>
      <x:c r="K7" s="36" t="str"/>
      <x:c r="L7" s="52"/>
      <x:c r="M7" s="52"/>
      <x:c r="N7" s="52" t="str">
        <x:f>IF(L7="","",ROUND(L7*'00_Leia_Primeiro'!$B$15/'00_Leia_Primeiro'!$B$13,0))</x:f>
      </x:c>
      <x:c r="O7" s="52" t="str">
        <x:f>IF(M7="","",ROUND(M7*'00_Leia_Primeiro'!$B$16/'00_Leia_Primeiro'!$B$14,0))</x:f>
      </x:c>
      <x:c r="P7" s="36" t="str"/>
      <x:c r="Q7" s="36" t="str">
        <x:v>logcat_full.txt e logcat_app.txt</x:v>
      </x:c>
      <x:c r="R7" s="52" t="str">
        <x:v>Não iniciado</x:v>
      </x:c>
      <x:c r="S7" s="36" t="str"/>
      <x:c r="T7" s="36" t="str"/>
      <x:c r="U7" s="36" t="str"/>
    </x:row>
    <x:row r="8" ht="78" customHeight="1">
      <x:c r="A8" s="52" t="n">
        <x:v>4</x:v>
      </x:c>
      <x:c r="B8" s="36" t="str">
        <x:v>LOG-002</x:v>
      </x:c>
      <x:c r="C8" s="36" t="str">
        <x:v>Aplicativo inteiro</x:v>
      </x:c>
      <x:c r="D8" s="36" t="str">
        <x:v>Critério de falha por logs</x:v>
      </x:c>
      <x:c r="E8" s="36" t="str">
        <x:v>Logs</x:v>
      </x:c>
      <x:c r="F8" s="52" t="str">
        <x:v>P0</x:v>
      </x:c>
      <x:c r="G8" s="36" t="str">
        <x:v>Captura LOG-001 ativa</x:v>
      </x:c>
      <x:c r="H8" s="36" t="str">
        <x:v>1. Durante cada caso, marcar timestamp de início/fim
2. Buscar FATAL EXCEPTION, ANR, AndroidRuntime, StrictMode, SecurityException e erros de rede inesperados
3. Se houver ocorrência, salvar recorte de ±30 s e vincular ao caso</x:v>
      </x:c>
      <x:c r="I8" s="36" t="str">
        <x:v>Nenhum crash/ANR/erro de permissão não tratado; ocorrências têm evidência e viram falha reproduzível.</x:v>
      </x:c>
      <x:c r="J8" s="36" t="str">
        <x:v>Firebase Crashlytics + Timber; README do repositório</x:v>
      </x:c>
      <x:c r="K8" s="36" t="str"/>
      <x:c r="L8" s="52"/>
      <x:c r="M8" s="52"/>
      <x:c r="N8" s="52" t="str">
        <x:f>IF(L8="","",ROUND(L8*'00_Leia_Primeiro'!$B$15/'00_Leia_Primeiro'!$B$13,0))</x:f>
      </x:c>
      <x:c r="O8" s="52" t="str">
        <x:f>IF(M8="","",ROUND(M8*'00_Leia_Primeiro'!$B$16/'00_Leia_Primeiro'!$B$14,0))</x:f>
      </x:c>
      <x:c r="P8" s="36" t="str"/>
      <x:c r="Q8" s="36" t="str">
        <x:v>Screenshot + logcat do período</x:v>
      </x:c>
      <x:c r="R8" s="52" t="str">
        <x:v>Não iniciado</x:v>
      </x:c>
      <x:c r="S8" s="36" t="str"/>
      <x:c r="T8" s="36" t="str"/>
      <x:c r="U8" s="36" t="str"/>
    </x:row>
    <x:row r="9" ht="78" customHeight="1">
      <x:c r="A9" s="52" t="n">
        <x:v>5</x:v>
      </x:c>
      <x:c r="B9" s="36" t="str">
        <x:v>INST-001</x:v>
      </x:c>
      <x:c r="C9" s="36" t="str">
        <x:v>Instalação</x:v>
      </x:c>
      <x:c r="D9" s="36" t="str">
        <x:v>Instalação limpa do APK</x:v>
      </x:c>
      <x:c r="E9" s="36" t="str">
        <x:v>Funcional</x:v>
      </x:c>
      <x:c r="F9" s="52" t="str">
        <x:v>P0</x:v>
      </x:c>
      <x:c r="G9" s="36" t="str">
        <x:v>APK debug ou alpha disponível</x:v>
      </x:c>
      <x:c r="H9" s="36" t="str">
        <x:v>1. Desinstalar io.signallq.app
2. Instalar APK com adb install -r
3. Confirmar package e versão com dumpsys package
4. Abrir por monkey ou launcher</x:v>
      </x:c>
      <x:c r="I9" s="36" t="str">
        <x:v>Instala sem erro, ícone/nome SignallQ corretos e processo inicia.</x:v>
      </x:c>
      <x:c r="J9" s="36" t="str">
        <x:v>README — namespace io.signallq.app</x:v>
      </x:c>
      <x:c r="K9" s="36" t="str"/>
      <x:c r="L9" s="52"/>
      <x:c r="M9" s="52"/>
      <x:c r="N9" s="52" t="str">
        <x:f>IF(L9="","",ROUND(L9*'00_Leia_Primeiro'!$B$15/'00_Leia_Primeiro'!$B$13,0))</x:f>
      </x:c>
      <x:c r="O9" s="52" t="str">
        <x:f>IF(M9="","",ROUND(M9*'00_Leia_Primeiro'!$B$16/'00_Leia_Primeiro'!$B$14,0))</x:f>
      </x:c>
      <x:c r="P9" s="36" t="str"/>
      <x:c r="Q9" s="36" t="str">
        <x:v>Screenshot + logcat do período</x:v>
      </x:c>
      <x:c r="R9" s="52" t="str">
        <x:v>Não iniciado</x:v>
      </x:c>
      <x:c r="S9" s="36" t="str"/>
      <x:c r="T9" s="36" t="str"/>
      <x:c r="U9" s="36" t="str"/>
    </x:row>
    <x:row r="10" ht="78" customHeight="1">
      <x:c r="A10" s="52" t="n">
        <x:v>6</x:v>
      </x:c>
      <x:c r="B10" s="36" t="str">
        <x:v>COLD-001</x:v>
      </x:c>
      <x:c r="C10" s="36" t="str">
        <x:v>Cold start</x:v>
      </x:c>
      <x:c r="D10" s="36" t="str">
        <x:v>Não piscar Onboarding/LGPD para usuário recorrente</x:v>
      </x:c>
      <x:c r="E10" s="36" t="str">
        <x:v>Funcional</x:v>
      </x:c>
      <x:c r="F10" s="52" t="str">
        <x:v>P0</x:v>
      </x:c>
      <x:c r="G10" s="36" t="str">
        <x:v>Onboarding já concluído e app fechado à força</x:v>
      </x:c>
      <x:c r="H10" s="36" t="str">
        <x:v>1. Executar adb shell am force-stop io.signallq.app
2. Iniciar gravação de tela
3. Abrir o app
4. Observar os primeiros 3 segundos</x:v>
      </x:c>
      <x:c r="I10" s="36" t="str">
        <x:v>Tela neutra pode aparecer brevemente; não há flash de onboarding, consentimento ou outra tela errada antes da tela real.</x:v>
      </x:c>
      <x:c r="J10" s="36" t="str">
        <x:v>Commit e50c7c0e316b813c166a527319e1ad353e0a43d9</x:v>
      </x:c>
      <x:c r="K10" s="36" t="str"/>
      <x:c r="L10" s="52"/>
      <x:c r="M10" s="52"/>
      <x:c r="N10" s="52" t="str">
        <x:f>IF(L10="","",ROUND(L10*'00_Leia_Primeiro'!$B$15/'00_Leia_Primeiro'!$B$13,0))</x:f>
      </x:c>
      <x:c r="O10" s="52" t="str">
        <x:f>IF(M10="","",ROUND(M10*'00_Leia_Primeiro'!$B$16/'00_Leia_Primeiro'!$B$14,0))</x:f>
      </x:c>
      <x:c r="P10" s="36" t="str"/>
      <x:c r="Q10" s="36" t="str">
        <x:v>Screenshot + logcat do período</x:v>
      </x:c>
      <x:c r="R10" s="52" t="str">
        <x:v>Não iniciado</x:v>
      </x:c>
      <x:c r="S10" s="36" t="str"/>
      <x:c r="T10" s="36" t="str"/>
      <x:c r="U10" s="36" t="str"/>
    </x:row>
    <x:row r="11" ht="78" customHeight="1">
      <x:c r="A11" s="52" t="n">
        <x:v>7</x:v>
      </x:c>
      <x:c r="B11" s="36" t="str">
        <x:v>COLD-002</x:v>
      </x:c>
      <x:c r="C11" s="36" t="str">
        <x:v>Cold start</x:v>
      </x:c>
      <x:c r="D11" s="36" t="str">
        <x:v>Aba inicial para usuário recorrente</x:v>
      </x:c>
      <x:c r="E11" s="36" t="str">
        <x:v>Navegação</x:v>
      </x:c>
      <x:c r="F11" s="52" t="str">
        <x:v>P0</x:v>
      </x:c>
      <x:c r="G11" s="36" t="str">
        <x:v>Onboarding concluído</x:v>
      </x:c>
      <x:c r="H11" s="36" t="str">
        <x:v>1. Fechar app por completo
2. Reabrir pelo launcher
3. Identificar item selecionado na navegação inferior</x:v>
      </x:c>
      <x:c r="I11" s="36" t="str">
        <x:v>Abre na aba Velocidade (índice 1), conforme decisão de produto atual; não restaura aba anterior.</x:v>
      </x:c>
      <x:c r="J11" s="36" t="str">
        <x:v>AppShell.kt — selectedTab inicial = 1</x:v>
      </x:c>
      <x:c r="K11" s="36" t="str">
        <x:v>Abrir app</x:v>
      </x:c>
      <x:c r="L11" s="52" t="n">
        <x:v>195</x:v>
      </x:c>
      <x:c r="M11" s="52" t="n">
        <x:v>785</x:v>
      </x:c>
      <x:c r="N11" s="52" t="n">
        <x:f>IF(L11="","",ROUND(L11*'00_Leia_Primeiro'!$B$15/'00_Leia_Primeiro'!$B$13,0))</x:f>
        <x:v>195</x:v>
      </x:c>
      <x:c r="O11" s="52" t="n">
        <x:f>IF(M11="","",ROUND(M11*'00_Leia_Primeiro'!$B$16/'00_Leia_Primeiro'!$B$14,0))</x:f>
        <x:v>785</x:v>
      </x:c>
      <x:c r="P11" s="36" t="str">
        <x:v>text=Velocidade</x:v>
      </x:c>
      <x:c r="Q11" s="36" t="str">
        <x:v>Screenshot + logcat do período</x:v>
      </x:c>
      <x:c r="R11" s="52" t="str">
        <x:v>Não iniciado</x:v>
      </x:c>
      <x:c r="S11" s="36" t="str"/>
      <x:c r="T11" s="36" t="str"/>
      <x:c r="U11" s="36" t="str"/>
    </x:row>
    <x:row r="12" ht="78" customHeight="1">
      <x:c r="A12" s="52" t="n">
        <x:v>8</x:v>
      </x:c>
      <x:c r="B12" s="36" t="str">
        <x:v>ONB-001</x:v>
      </x:c>
      <x:c r="C12" s="36" t="str">
        <x:v>Onboarding — etapa 1</x:v>
      </x:c>
      <x:c r="D12" s="36" t="str">
        <x:v>Layout e conteúdo inicial</x:v>
      </x:c>
      <x:c r="E12" s="36" t="str">
        <x:v>Design</x:v>
      </x:c>
      <x:c r="F12" s="52" t="str">
        <x:v>P0</x:v>
      </x:c>
      <x:c r="G12" s="36" t="str">
        <x:v>Dados do app limpos</x:v>
      </x:c>
      <x:c r="H12" s="36" t="str">
        <x:v>1. Executar adb shell pm clear io.signallq.app
2. Abrir o app
3. Capturar screenshot completo</x:v>
      </x:c>
      <x:c r="I12" s="36" t="str">
        <x:v>Tela respeita áreas seguras, hierarquia clara, textos sem corte, superfícies MD3 e CTA visível; sem elementos sob status/navigation bar.</x:v>
      </x:c>
      <x:c r="J12" s="36" t="str">
        <x:v>C:\Users\luizg\Documents\7Agents\Claude Design\SignallQ Design System — tobe/OnboardingScreen + commit 98414d...</x:v>
      </x:c>
      <x:c r="K12" s="36" t="str"/>
      <x:c r="L12" s="52"/>
      <x:c r="M12" s="52"/>
      <x:c r="N12" s="52" t="str">
        <x:f>IF(L12="","",ROUND(L12*'00_Leia_Primeiro'!$B$15/'00_Leia_Primeiro'!$B$13,0))</x:f>
      </x:c>
      <x:c r="O12" s="52" t="str">
        <x:f>IF(M12="","",ROUND(M12*'00_Leia_Primeiro'!$B$16/'00_Leia_Primeiro'!$B$14,0))</x:f>
      </x:c>
      <x:c r="P12" s="36" t="str"/>
      <x:c r="Q12" s="36" t="str">
        <x:v>Screenshot + UI XML</x:v>
      </x:c>
      <x:c r="R12" s="52" t="str">
        <x:v>Não iniciado</x:v>
      </x:c>
      <x:c r="S12" s="36" t="str"/>
      <x:c r="T12" s="36" t="str"/>
      <x:c r="U12" s="36" t="str"/>
    </x:row>
    <x:row r="13" ht="78" customHeight="1">
      <x:c r="A13" s="52" t="n">
        <x:v>9</x:v>
      </x:c>
      <x:c r="B13" s="36" t="str">
        <x:v>ONB-002</x:v>
      </x:c>
      <x:c r="C13" s="36" t="str">
        <x:v>Onboarding — etapa 1</x:v>
      </x:c>
      <x:c r="D13" s="36" t="str">
        <x:v>Termos/privacidade obrigatórios</x:v>
      </x:c>
      <x:c r="E13" s="36" t="str">
        <x:v>Funcional</x:v>
      </x:c>
      <x:c r="F13" s="52" t="str">
        <x:v>P0</x:v>
      </x:c>
      <x:c r="G13" s="36" t="str">
        <x:v>Na etapa 1</x:v>
      </x:c>
      <x:c r="H13" s="36" t="str">
        <x:v>1. Tentar avançar sem aceitar
2. Marcar aceite obrigatório
3. Avançar</x:v>
      </x:c>
      <x:c r="I13" s="36" t="str">
        <x:v>Sem aceite, avanço fica bloqueado ou apresenta orientação clara; com aceite, navega uma única vez para a etapa 2.</x:v>
      </x:c>
      <x:c r="J13" s="36" t="str">
        <x:v>C:\Users\luizg\Documents\7Agents\Claude Design\SignallQ Design System — OnboardingScreen</x:v>
      </x:c>
      <x:c r="K13" s="36" t="str">
        <x:v>Aceitar e avançar</x:v>
      </x:c>
      <x:c r="L13" s="52" t="n">
        <x:v>195</x:v>
      </x:c>
      <x:c r="M13" s="52" t="n">
        <x:v>742</x:v>
      </x:c>
      <x:c r="N13" s="52" t="n">
        <x:f>IF(L13="","",ROUND(L13*'00_Leia_Primeiro'!$B$15/'00_Leia_Primeiro'!$B$13,0))</x:f>
        <x:v>195</x:v>
      </x:c>
      <x:c r="O13" s="52" t="n">
        <x:f>IF(M13="","",ROUND(M13*'00_Leia_Primeiro'!$B$16/'00_Leia_Primeiro'!$B$14,0))</x:f>
        <x:v>742</x:v>
      </x:c>
      <x:c r="P13" s="36" t="str">
        <x:v>text=Próximo|Começar</x:v>
      </x:c>
      <x:c r="Q13" s="36" t="str">
        <x:v>Screenshot + logcat do período</x:v>
      </x:c>
      <x:c r="R13" s="52" t="str">
        <x:v>Não iniciado</x:v>
      </x:c>
      <x:c r="S13" s="36" t="str"/>
      <x:c r="T13" s="36" t="str"/>
      <x:c r="U13" s="36" t="str"/>
    </x:row>
    <x:row r="14" ht="78" customHeight="1">
      <x:c r="A14" s="52" t="n">
        <x:v>10</x:v>
      </x:c>
      <x:c r="B14" s="36" t="str">
        <x:v>ONB-003</x:v>
      </x:c>
      <x:c r="C14" s="36" t="str">
        <x:v>Onboarding — etapa 1</x:v>
      </x:c>
      <x:c r="D14" s="36" t="str">
        <x:v>Links de Termos e Privacidade</x:v>
      </x:c>
      <x:c r="E14" s="36" t="str">
        <x:v>Navegação</x:v>
      </x:c>
      <x:c r="F14" s="52" t="str">
        <x:v>P1</x:v>
      </x:c>
      <x:c r="G14" s="36" t="str">
        <x:v>Na etapa 1</x:v>
      </x:c>
      <x:c r="H14" s="36" t="str">
        <x:v>1. Tocar no link de Termos
2. Voltar
3. Tocar no link de Privacidade
4. Voltar</x:v>
      </x:c>
      <x:c r="I14" s="36" t="str">
        <x:v>Cada link abre o conteúdo correto sem perder estado; voltar retorna ao onboarding.</x:v>
      </x:c>
      <x:c r="J14" s="36" t="str">
        <x:v>OnboardingScreen + PrivacidadeScreen</x:v>
      </x:c>
      <x:c r="K14" s="36" t="str">
        <x:v>Link Termos/Privacidade</x:v>
      </x:c>
      <x:c r="L14" s="52" t="n">
        <x:v>195</x:v>
      </x:c>
      <x:c r="M14" s="52" t="n">
        <x:v>620</x:v>
      </x:c>
      <x:c r="N14" s="52" t="n">
        <x:f>IF(L14="","",ROUND(L14*'00_Leia_Primeiro'!$B$15/'00_Leia_Primeiro'!$B$13,0))</x:f>
        <x:v>195</x:v>
      </x:c>
      <x:c r="O14" s="52" t="n">
        <x:f>IF(M14="","",ROUND(M14*'00_Leia_Primeiro'!$B$16/'00_Leia_Primeiro'!$B$14,0))</x:f>
        <x:v>620</x:v>
      </x:c>
      <x:c r="P14" s="36" t="str">
        <x:v>text=Termos|Privacidade</x:v>
      </x:c>
      <x:c r="Q14" s="36" t="str">
        <x:v>Screenshot + logcat do período</x:v>
      </x:c>
      <x:c r="R14" s="52" t="str">
        <x:v>Não iniciado</x:v>
      </x:c>
      <x:c r="S14" s="36" t="str"/>
      <x:c r="T14" s="36" t="str"/>
      <x:c r="U14" s="36" t="str"/>
    </x:row>
    <x:row r="15" ht="78" customHeight="1">
      <x:c r="A15" s="52" t="n">
        <x:v>11</x:v>
      </x:c>
      <x:c r="B15" s="36" t="str">
        <x:v>ONB-004</x:v>
      </x:c>
      <x:c r="C15" s="36" t="str">
        <x:v>Onboarding — etapa 2</x:v>
      </x:c>
      <x:c r="D15" s="36" t="str">
        <x:v>Permissões opcionais não bloqueiam</x:v>
      </x:c>
      <x:c r="E15" s="36" t="str">
        <x:v>Funcional</x:v>
      </x:c>
      <x:c r="F15" s="52" t="str">
        <x:v>P0</x:v>
      </x:c>
      <x:c r="G15" s="36" t="str">
        <x:v>Na etapa 2; permissões ainda não concedidas</x:v>
      </x:c>
      <x:c r="H15" s="36" t="str">
        <x:v>1. Não conceder nenhuma permissão
2. Concluir o onboarding
3. Observar destino</x:v>
      </x:c>
      <x:c r="I15" s="36" t="str">
        <x:v>Conclusão é permitida; app abre e mostra estados degradados/contextuais sem crash nem loop.</x:v>
      </x:c>
      <x:c r="J15" s="36" t="str">
        <x:v>C:\Users\luizg\Documents\7Agents\Claude Design\SignallQ Design System — etapa de 4 permissões opcionais</x:v>
      </x:c>
      <x:c r="K15" s="36" t="str"/>
      <x:c r="L15" s="52"/>
      <x:c r="M15" s="52"/>
      <x:c r="N15" s="52" t="str">
        <x:f>IF(L15="","",ROUND(L15*'00_Leia_Primeiro'!$B$15/'00_Leia_Primeiro'!$B$13,0))</x:f>
      </x:c>
      <x:c r="O15" s="52" t="str">
        <x:f>IF(M15="","",ROUND(M15*'00_Leia_Primeiro'!$B$16/'00_Leia_Primeiro'!$B$14,0))</x:f>
      </x:c>
      <x:c r="P15" s="36" t="str"/>
      <x:c r="Q15" s="36" t="str">
        <x:v>Screenshot + logcat do período</x:v>
      </x:c>
      <x:c r="R15" s="52" t="str">
        <x:v>Não iniciado</x:v>
      </x:c>
      <x:c r="S15" s="36" t="str"/>
      <x:c r="T15" s="36" t="str"/>
      <x:c r="U15" s="36" t="str"/>
    </x:row>
    <x:row r="16" ht="78" customHeight="1">
      <x:c r="A16" s="52" t="n">
        <x:v>12</x:v>
      </x:c>
      <x:c r="B16" s="36" t="str">
        <x:v>ONB-005</x:v>
      </x:c>
      <x:c r="C16" s="36" t="str">
        <x:v>Onboarding — etapa 2</x:v>
      </x:c>
      <x:c r="D16" s="36" t="str">
        <x:v>Permitir tudo</x:v>
      </x:c>
      <x:c r="E16" s="36" t="str">
        <x:v>Funcional</x:v>
      </x:c>
      <x:c r="F16" s="52" t="str">
        <x:v>P1</x:v>
      </x:c>
      <x:c r="G16" s="36" t="str">
        <x:v>Na etapa 2; permissões revogadas</x:v>
      </x:c>
      <x:c r="H16" s="36" t="str">
        <x:v>1. Tocar em Permitir tudo
2. Responder aos diálogos do Android conforme solicitado
3. Concluir onboarding
4. Verificar permissões via dumpsys package</x:v>
      </x:c>
      <x:c r="I16" s="36" t="str">
        <x:v>Solicitações são contextuais, sem diálogo duplicado; permissões aceitas ficam refletidas no app.</x:v>
      </x:c>
      <x:c r="J16" s="36" t="str">
        <x:v>OnboardingScreen + MainActivity permission flow</x:v>
      </x:c>
      <x:c r="K16" s="36" t="str">
        <x:v>Permitir tudo</x:v>
      </x:c>
      <x:c r="L16" s="52" t="n">
        <x:v>195</x:v>
      </x:c>
      <x:c r="M16" s="52" t="n">
        <x:v>625</x:v>
      </x:c>
      <x:c r="N16" s="52" t="n">
        <x:f>IF(L16="","",ROUND(L16*'00_Leia_Primeiro'!$B$15/'00_Leia_Primeiro'!$B$13,0))</x:f>
        <x:v>195</x:v>
      </x:c>
      <x:c r="O16" s="52" t="n">
        <x:f>IF(M16="","",ROUND(M16*'00_Leia_Primeiro'!$B$16/'00_Leia_Primeiro'!$B$14,0))</x:f>
        <x:v>625</x:v>
      </x:c>
      <x:c r="P16" s="36" t="str">
        <x:v>text=Permitir tudo</x:v>
      </x:c>
      <x:c r="Q16" s="36" t="str">
        <x:v>Screenshot + logcat do período</x:v>
      </x:c>
      <x:c r="R16" s="52" t="str">
        <x:v>Não iniciado</x:v>
      </x:c>
      <x:c r="S16" s="36" t="str"/>
      <x:c r="T16" s="36" t="str"/>
      <x:c r="U16" s="36" t="str"/>
    </x:row>
    <x:row r="17" ht="78" customHeight="1">
      <x:c r="A17" s="52" t="n">
        <x:v>13</x:v>
      </x:c>
      <x:c r="B17" s="36" t="str">
        <x:v>ONB-006</x:v>
      </x:c>
      <x:c r="C17" s="36" t="str">
        <x:v>Onboarding</x:v>
      </x:c>
      <x:c r="D17" s="36" t="str">
        <x:v>Botões e insets com navegação por 3 botões</x:v>
      </x:c>
      <x:c r="E17" s="36" t="str">
        <x:v>Design</x:v>
      </x:c>
      <x:c r="F17" s="52" t="str">
        <x:v>P0</x:v>
      </x:c>
      <x:c r="G17" s="36" t="str">
        <x:v>Pixel 10 API 36 configurado para navegação por 3 botões</x:v>
      </x:c>
      <x:c r="H17" s="36" t="str">
        <x:v>1. Limpar dados e abrir onboarding
2. Percorrer as etapas
3. Capturar cada etapa</x:v>
      </x:c>
      <x:c r="I17" s="36" t="str">
        <x:v>Pular/Voltar/Próximo/Começar ficam totalmente fora das barras do sistema e clicáveis.</x:v>
      </x:c>
      <x:c r="J17" s="36" t="str">
        <x:v>Commit 98414d42982aad171ccfc9af0869c0fc3b8d3f5c</x:v>
      </x:c>
      <x:c r="K17" s="36" t="str"/>
      <x:c r="L17" s="52"/>
      <x:c r="M17" s="52"/>
      <x:c r="N17" s="52" t="str">
        <x:f>IF(L17="","",ROUND(L17*'00_Leia_Primeiro'!$B$15/'00_Leia_Primeiro'!$B$13,0))</x:f>
      </x:c>
      <x:c r="O17" s="52" t="str">
        <x:f>IF(M17="","",ROUND(M17*'00_Leia_Primeiro'!$B$16/'00_Leia_Primeiro'!$B$14,0))</x:f>
      </x:c>
      <x:c r="P17" s="36" t="str"/>
      <x:c r="Q17" s="36" t="str">
        <x:v>Screenshot + logcat do período</x:v>
      </x:c>
      <x:c r="R17" s="52" t="str">
        <x:v>Não iniciado</x:v>
      </x:c>
      <x:c r="S17" s="36" t="str"/>
      <x:c r="T17" s="36" t="str"/>
      <x:c r="U17" s="36" t="str"/>
    </x:row>
    <x:row r="18" ht="78" customHeight="1">
      <x:c r="A18" s="52" t="n">
        <x:v>14</x:v>
      </x:c>
      <x:c r="B18" s="36" t="str">
        <x:v>ONB-007</x:v>
      </x:c>
      <x:c r="C18" s="36" t="str">
        <x:v>Onboarding</x:v>
      </x:c>
      <x:c r="D18" s="36" t="str">
        <x:v>Insets com navegação por gestos</x:v>
      </x:c>
      <x:c r="E18" s="36" t="str">
        <x:v>Design</x:v>
      </x:c>
      <x:c r="F18" s="52" t="str">
        <x:v>P1</x:v>
      </x:c>
      <x:c r="G18" s="36" t="str">
        <x:v>Pixel 10 configurado para navegação por gestos</x:v>
      </x:c>
      <x:c r="H18" s="36" t="str">
        <x:v>1. Repetir onboarding
2. Testar gesto voltar em cada etapa</x:v>
      </x:c>
      <x:c r="I18" s="36" t="str">
        <x:v>Conteúdo não encosta na área gestual; gesto voltar respeita o fluxo e não fecha indevidamente.</x:v>
      </x:c>
      <x:c r="J18" s="36" t="str">
        <x:v>MD3 edge-to-edge + safeDrawingPadding</x:v>
      </x:c>
      <x:c r="K18" s="36" t="str"/>
      <x:c r="L18" s="52"/>
      <x:c r="M18" s="52"/>
      <x:c r="N18" s="52" t="str">
        <x:f>IF(L18="","",ROUND(L18*'00_Leia_Primeiro'!$B$15/'00_Leia_Primeiro'!$B$13,0))</x:f>
      </x:c>
      <x:c r="O18" s="52" t="str">
        <x:f>IF(M18="","",ROUND(M18*'00_Leia_Primeiro'!$B$16/'00_Leia_Primeiro'!$B$14,0))</x:f>
      </x:c>
      <x:c r="P18" s="36" t="str"/>
      <x:c r="Q18" s="36" t="str">
        <x:v>Screenshot + logcat do período</x:v>
      </x:c>
      <x:c r="R18" s="52" t="str">
        <x:v>Não iniciado</x:v>
      </x:c>
      <x:c r="S18" s="36" t="str"/>
      <x:c r="T18" s="36" t="str"/>
      <x:c r="U18" s="36" t="str"/>
    </x:row>
    <x:row r="19" ht="78" customHeight="1">
      <x:c r="A19" s="52" t="n">
        <x:v>15</x:v>
      </x:c>
      <x:c r="B19" s="36" t="str">
        <x:v>NAV-001</x:v>
      </x:c>
      <x:c r="C19" s="36" t="str">
        <x:v>Navegação inferior</x:v>
      </x:c>
      <x:c r="D19" s="36" t="str">
        <x:v>Cinco destinos atuais</x:v>
      </x:c>
      <x:c r="E19" s="36" t="str">
        <x:v>Navegação</x:v>
      </x:c>
      <x:c r="F19" s="52" t="str">
        <x:v>P0</x:v>
      </x:c>
      <x:c r="G19" s="36" t="str">
        <x:v>Onboarding concluído</x:v>
      </x:c>
      <x:c r="H19" s="36" t="str">
        <x:v>1. Inspecionar os cinco itens
2. Tocar em cada item da esquerda para a direita
3. Registrar tela aberta e estado selecionado</x:v>
      </x:c>
      <x:c r="I19" s="36" t="str">
        <x:v>Destinos: Início, Velocidade, Sinal, Histórico e Ferramentas. Não existe aba Ajustes; Perfil/Ajustes abre pelo avatar.</x:v>
      </x:c>
      <x:c r="J19" s="36" t="str">
        <x:v>AppShell.kt — tabs e Overlay.Ferramentas</x:v>
      </x:c>
      <x:c r="K19" s="36" t="str">
        <x:v>Bottom navigation</x:v>
      </x:c>
      <x:c r="L19" s="52" t="n">
        <x:v>39</x:v>
      </x:c>
      <x:c r="M19" s="52" t="n">
        <x:v>785</x:v>
      </x:c>
      <x:c r="N19" s="52" t="n">
        <x:f>IF(L19="","",ROUND(L19*'00_Leia_Primeiro'!$B$15/'00_Leia_Primeiro'!$B$13,0))</x:f>
        <x:v>39</x:v>
      </x:c>
      <x:c r="O19" s="52" t="n">
        <x:f>IF(M19="","",ROUND(M19*'00_Leia_Primeiro'!$B$16/'00_Leia_Primeiro'!$B$14,0))</x:f>
        <x:v>785</x:v>
      </x:c>
      <x:c r="P19" s="36" t="str">
        <x:v>role=tab</x:v>
      </x:c>
      <x:c r="Q19" s="36" t="str">
        <x:v>Screenshot + logcat do período</x:v>
      </x:c>
      <x:c r="R19" s="52" t="str">
        <x:v>Não iniciado</x:v>
      </x:c>
      <x:c r="S19" s="36" t="str"/>
      <x:c r="T19" s="36" t="str"/>
      <x:c r="U19" s="36" t="str"/>
    </x:row>
    <x:row r="20" ht="78" customHeight="1">
      <x:c r="A20" s="52" t="n">
        <x:v>16</x:v>
      </x:c>
      <x:c r="B20" s="36" t="str">
        <x:v>NAV-002</x:v>
      </x:c>
      <x:c r="C20" s="36" t="str">
        <x:v>Navegação inferior</x:v>
      </x:c>
      <x:c r="D20" s="36" t="str">
        <x:v>Estado selecionado e ícones</x:v>
      </x:c>
      <x:c r="E20" s="36" t="str">
        <x:v>Design</x:v>
      </x:c>
      <x:c r="F20" s="52" t="str">
        <x:v>P1</x:v>
      </x:c>
      <x:c r="G20" s="36" t="str">
        <x:v>App aberto</x:v>
      </x:c>
      <x:c r="H20" s="36" t="str">
        <x:v>1. Alternar entre todas as abas
2. Comparar ícone ativo/inativo, label e indicador</x:v>
      </x:c>
      <x:c r="I20" s="36" t="str">
        <x:v>Apenas um item ativo; indicador/primary violet correto, labels legíveis, ícones coerentes e sem saltos de layout.</x:v>
      </x:c>
      <x:c r="J20" s="36" t="str">
        <x:v>C:\Users\luizg\Documents\7Agents\Claude Design\SignallQ Design System — BottomNav; Material Symbols/MD3</x:v>
      </x:c>
      <x:c r="K20" s="36" t="str"/>
      <x:c r="L20" s="52"/>
      <x:c r="M20" s="52"/>
      <x:c r="N20" s="52" t="str">
        <x:f>IF(L20="","",ROUND(L20*'00_Leia_Primeiro'!$B$15/'00_Leia_Primeiro'!$B$13,0))</x:f>
      </x:c>
      <x:c r="O20" s="52" t="str">
        <x:f>IF(M20="","",ROUND(M20*'00_Leia_Primeiro'!$B$16/'00_Leia_Primeiro'!$B$14,0))</x:f>
      </x:c>
      <x:c r="P20" s="36" t="str"/>
      <x:c r="Q20" s="36" t="str">
        <x:v>Screenshot + logcat do período</x:v>
      </x:c>
      <x:c r="R20" s="52" t="str">
        <x:v>Não iniciado</x:v>
      </x:c>
      <x:c r="S20" s="36" t="str"/>
      <x:c r="T20" s="36" t="str"/>
      <x:c r="U20" s="36" t="str"/>
    </x:row>
    <x:row r="21" ht="78" customHeight="1">
      <x:c r="A21" s="52" t="n">
        <x:v>17</x:v>
      </x:c>
      <x:c r="B21" s="36" t="str">
        <x:v>NAV-003</x:v>
      </x:c>
      <x:c r="C21" s="36" t="str">
        <x:v>Overlays</x:v>
      </x:c>
      <x:c r="D21" s="36" t="str">
        <x:v>Back desempilha uma tela por vez</x:v>
      </x:c>
      <x:c r="E21" s="36" t="str">
        <x:v>Navegação</x:v>
      </x:c>
      <x:c r="F21" s="52" t="str">
        <x:v>P0</x:v>
      </x:c>
      <x:c r="G21" s="36" t="str">
        <x:v>Abrir um overlay e, a partir dele, outro sheet</x:v>
      </x:c>
      <x:c r="H21" s="36" t="str">
        <x:v>1. Pressionar back físico/gesto
2. Repetir até voltar à aba base</x:v>
      </x:c>
      <x:c r="I21" s="36" t="str">
        <x:v>Cada back fecha somente a camada superior; não fecha o app nem perde a aba base.</x:v>
      </x:c>
      <x:c r="J21" s="36" t="str">
        <x:v>AppShell.kt — overlayStack + BackHandler</x:v>
      </x:c>
      <x:c r="K21" s="36" t="str"/>
      <x:c r="L21" s="52"/>
      <x:c r="M21" s="52"/>
      <x:c r="N21" s="52" t="str">
        <x:f>IF(L21="","",ROUND(L21*'00_Leia_Primeiro'!$B$15/'00_Leia_Primeiro'!$B$13,0))</x:f>
      </x:c>
      <x:c r="O21" s="52" t="str">
        <x:f>IF(M21="","",ROUND(M21*'00_Leia_Primeiro'!$B$16/'00_Leia_Primeiro'!$B$14,0))</x:f>
      </x:c>
      <x:c r="P21" s="36" t="str"/>
      <x:c r="Q21" s="36" t="str">
        <x:v>Screenshot + logcat do período</x:v>
      </x:c>
      <x:c r="R21" s="52" t="str">
        <x:v>Não iniciado</x:v>
      </x:c>
      <x:c r="S21" s="36" t="str"/>
      <x:c r="T21" s="36" t="str"/>
      <x:c r="U21" s="36" t="str"/>
    </x:row>
    <x:row r="22" ht="78" customHeight="1">
      <x:c r="A22" s="52" t="n">
        <x:v>18</x:v>
      </x:c>
      <x:c r="B22" s="36" t="str">
        <x:v>NAV-004</x:v>
      </x:c>
      <x:c r="C22" s="36" t="str">
        <x:v>Histórico</x:v>
      </x:c>
      <x:c r="D22" s="36" t="str">
        <x:v>Back físico retorna à Home</x:v>
      </x:c>
      <x:c r="E22" s="36" t="str">
        <x:v>Navegação</x:v>
      </x:c>
      <x:c r="F22" s="52" t="str">
        <x:v>P1</x:v>
      </x:c>
      <x:c r="G22" s="36" t="str">
        <x:v>Na aba Histórico sem overlay</x:v>
      </x:c>
      <x:c r="H22" s="36" t="str">
        <x:v>1. Pressionar back físico
2. Observar destino</x:v>
      </x:c>
      <x:c r="I22" s="36" t="str">
        <x:v>Retorna para Início, não fecha o aplicativo.</x:v>
      </x:c>
      <x:c r="J22" s="36" t="str">
        <x:v>AppShell.kt — BackHandler selectedTab == 3</x:v>
      </x:c>
      <x:c r="K22" s="36" t="str"/>
      <x:c r="L22" s="52"/>
      <x:c r="M22" s="52"/>
      <x:c r="N22" s="52" t="str">
        <x:f>IF(L22="","",ROUND(L22*'00_Leia_Primeiro'!$B$15/'00_Leia_Primeiro'!$B$13,0))</x:f>
      </x:c>
      <x:c r="O22" s="52" t="str">
        <x:f>IF(M22="","",ROUND(M22*'00_Leia_Primeiro'!$B$16/'00_Leia_Primeiro'!$B$14,0))</x:f>
      </x:c>
      <x:c r="P22" s="36" t="str"/>
      <x:c r="Q22" s="36" t="str">
        <x:v>Screenshot + logcat do período</x:v>
      </x:c>
      <x:c r="R22" s="52" t="str">
        <x:v>Não iniciado</x:v>
      </x:c>
      <x:c r="S22" s="36" t="str"/>
      <x:c r="T22" s="36" t="str"/>
      <x:c r="U22" s="36" t="str"/>
    </x:row>
    <x:row r="23" ht="78" customHeight="1">
      <x:c r="A23" s="52" t="n">
        <x:v>19</x:v>
      </x:c>
      <x:c r="B23" s="36" t="str">
        <x:v>DSG-001</x:v>
      </x:c>
      <x:c r="C23" s="36" t="str">
        <x:v>Todas as telas</x:v>
      </x:c>
      <x:c r="D23" s="36" t="str">
        <x:v>Tema claro — cores To-Be</x:v>
      </x:c>
      <x:c r="E23" s="36" t="str">
        <x:v>Design</x:v>
      </x:c>
      <x:c r="F23" s="52" t="str">
        <x:v>P0</x:v>
      </x:c>
      <x:c r="G23" s="36" t="str">
        <x:v>Tema do app = claro</x:v>
      </x:c>
      <x:c r="H23" s="36" t="str">
        <x:v>1. Percorrer todas as abas e overlays principais
2. Comparar fundo, superfícies, textos, contornos, primary e estados</x:v>
      </x:c>
      <x:c r="I23" s="36" t="str">
        <x:v>Primary #5B21D6; surface #FFFFFF; onSurface #1C1B1F; outline #79747E; estados usam tokens semânticos; sem cores antigas hardcoded.</x:v>
      </x:c>
      <x:c r="J23" s="36" t="str">
        <x:v>C:\Users\luizg\Documents\7Agents\Claude Design\SignallQ Design System — tobe/theme.js LIGHT + commit e1aa9f3e</x:v>
      </x:c>
      <x:c r="K23" s="36" t="str"/>
      <x:c r="L23" s="52"/>
      <x:c r="M23" s="52"/>
      <x:c r="N23" s="52" t="str">
        <x:f>IF(L23="","",ROUND(L23*'00_Leia_Primeiro'!$B$15/'00_Leia_Primeiro'!$B$13,0))</x:f>
      </x:c>
      <x:c r="O23" s="52" t="str">
        <x:f>IF(M23="","",ROUND(M23*'00_Leia_Primeiro'!$B$16/'00_Leia_Primeiro'!$B$14,0))</x:f>
      </x:c>
      <x:c r="P23" s="36" t="str"/>
      <x:c r="Q23" s="36" t="str">
        <x:v>Screenshot + logcat do período</x:v>
      </x:c>
      <x:c r="R23" s="52" t="str">
        <x:v>Não iniciado</x:v>
      </x:c>
      <x:c r="S23" s="36" t="str"/>
      <x:c r="T23" s="36" t="str"/>
      <x:c r="U23" s="36" t="str"/>
    </x:row>
    <x:row r="24" ht="78" customHeight="1">
      <x:c r="A24" s="52" t="n">
        <x:v>20</x:v>
      </x:c>
      <x:c r="B24" s="36" t="str">
        <x:v>DSG-002</x:v>
      </x:c>
      <x:c r="C24" s="36" t="str">
        <x:v>Todas as telas</x:v>
      </x:c>
      <x:c r="D24" s="36" t="str">
        <x:v>Tema escuro — cores To-Be</x:v>
      </x:c>
      <x:c r="E24" s="36" t="str">
        <x:v>Design</x:v>
      </x:c>
      <x:c r="F24" s="52" t="str">
        <x:v>P0</x:v>
      </x:c>
      <x:c r="G24" s="36" t="str">
        <x:v>Tema do app = escuro</x:v>
      </x:c>
      <x:c r="H24" s="36" t="str">
        <x:v>1. Percorrer todas as abas e overlays principais
2. Comparar contraste e hierarquia</x:v>
      </x:c>
      <x:c r="I24" s="36" t="str">
        <x:v>Primary #D0BCFF; surface #131217; containers #1D1B20/#211F26/#2B2930; textos #E6E0E9; nenhum texto escuro sobre fundo escuro.</x:v>
      </x:c>
      <x:c r="J24" s="36" t="str">
        <x:v>C:\Users\luizg\Documents\7Agents\Claude Design\SignallQ Design System — tobe/theme.js DARK</x:v>
      </x:c>
      <x:c r="K24" s="36" t="str"/>
      <x:c r="L24" s="52"/>
      <x:c r="M24" s="52"/>
      <x:c r="N24" s="52" t="str">
        <x:f>IF(L24="","",ROUND(L24*'00_Leia_Primeiro'!$B$15/'00_Leia_Primeiro'!$B$13,0))</x:f>
      </x:c>
      <x:c r="O24" s="52" t="str">
        <x:f>IF(M24="","",ROUND(M24*'00_Leia_Primeiro'!$B$16/'00_Leia_Primeiro'!$B$14,0))</x:f>
      </x:c>
      <x:c r="P24" s="36" t="str"/>
      <x:c r="Q24" s="36" t="str">
        <x:v>Screenshot + logcat do período</x:v>
      </x:c>
      <x:c r="R24" s="52" t="str">
        <x:v>Não iniciado</x:v>
      </x:c>
      <x:c r="S24" s="36" t="str"/>
      <x:c r="T24" s="36" t="str"/>
      <x:c r="U24" s="36" t="str"/>
    </x:row>
    <x:row r="25" ht="78" customHeight="1">
      <x:c r="A25" s="52" t="n">
        <x:v>21</x:v>
      </x:c>
      <x:c r="B25" s="36" t="str">
        <x:v>DSG-003</x:v>
      </x:c>
      <x:c r="C25" s="36" t="str">
        <x:v>Todas as telas</x:v>
      </x:c>
      <x:c r="D25" s="36" t="str">
        <x:v>Grid, cards e elevação</x:v>
      </x:c>
      <x:c r="E25" s="36" t="str">
        <x:v>Design</x:v>
      </x:c>
      <x:c r="F25" s="52" t="str">
        <x:v>P1</x:v>
      </x:c>
      <x:c r="G25" s="36" t="str">
        <x:v>Qualquer tela com cards</x:v>
      </x:c>
      <x:c r="H25" s="36" t="str">
        <x:v>1. Medir paddings/gaps com screenshot
2. Verificar radius e borda
3. Procurar sombras</x:v>
      </x:c>
      <x:c r="I25" s="36" t="str">
        <x:v>Espaçamento segue múltiplos de 4/8dp; cards com raio 16dp, borda hairline e sem drop shadow indevida.</x:v>
      </x:c>
      <x:c r="J25" s="36" t="str">
        <x:v>C:\Users\luizg\Documents\7Agents\Claude Design\SignallQ Design System — SPACE 4/8/12/16/20/24/32/40; README cards</x:v>
      </x:c>
      <x:c r="K25" s="36" t="str"/>
      <x:c r="L25" s="52"/>
      <x:c r="M25" s="52"/>
      <x:c r="N25" s="52" t="str">
        <x:f>IF(L25="","",ROUND(L25*'00_Leia_Primeiro'!$B$15/'00_Leia_Primeiro'!$B$13,0))</x:f>
      </x:c>
      <x:c r="O25" s="52" t="str">
        <x:f>IF(M25="","",ROUND(M25*'00_Leia_Primeiro'!$B$16/'00_Leia_Primeiro'!$B$14,0))</x:f>
      </x:c>
      <x:c r="P25" s="36" t="str"/>
      <x:c r="Q25" s="36" t="str">
        <x:v>Screenshot + logcat do período</x:v>
      </x:c>
      <x:c r="R25" s="52" t="str">
        <x:v>Não iniciado</x:v>
      </x:c>
      <x:c r="S25" s="36" t="str"/>
      <x:c r="T25" s="36" t="str"/>
      <x:c r="U25" s="36" t="str"/>
    </x:row>
    <x:row r="26" ht="78" customHeight="1">
      <x:c r="A26" s="52" t="n">
        <x:v>22</x:v>
      </x:c>
      <x:c r="B26" s="36" t="str">
        <x:v>DSG-004</x:v>
      </x:c>
      <x:c r="C26" s="36" t="str">
        <x:v>Todas as telas</x:v>
      </x:c>
      <x:c r="D26" s="36" t="str">
        <x:v>Tipografia e copy</x:v>
      </x:c>
      <x:c r="E26" s="36" t="str">
        <x:v>Design</x:v>
      </x:c>
      <x:c r="F26" s="52" t="str">
        <x:v>P1</x:v>
      </x:c>
      <x:c r="G26" s="36" t="str">
        <x:v>App em português</x:v>
      </x:c>
      <x:c r="H26" s="36" t="str">
        <x:v>1. Inspecionar títulos, corpo, labels e overlines
2. Procurar truncamento, caixa alta indevida, termos técnicos e emoji</x:v>
      </x:c>
      <x:c r="I26" s="36" t="str">
        <x:v>Escala MD3 consistente; overlines em uppercase; demais textos em sentence case; português natural; sem emoji; nenhum texto cortado.</x:v>
      </x:c>
      <x:c r="J26" s="36" t="str">
        <x:v>C:\Users\luizg\Documents\7Agents\Claude Design\SignallQ Design System — tobe/theme.js TYPE + README</x:v>
      </x:c>
      <x:c r="K26" s="36" t="str"/>
      <x:c r="L26" s="52"/>
      <x:c r="M26" s="52"/>
      <x:c r="N26" s="52" t="str">
        <x:f>IF(L26="","",ROUND(L26*'00_Leia_Primeiro'!$B$15/'00_Leia_Primeiro'!$B$13,0))</x:f>
      </x:c>
      <x:c r="O26" s="52" t="str">
        <x:f>IF(M26="","",ROUND(M26*'00_Leia_Primeiro'!$B$16/'00_Leia_Primeiro'!$B$14,0))</x:f>
      </x:c>
      <x:c r="P26" s="36" t="str"/>
      <x:c r="Q26" s="36" t="str">
        <x:v>Screenshot + logcat do período</x:v>
      </x:c>
      <x:c r="R26" s="52" t="str">
        <x:v>Não iniciado</x:v>
      </x:c>
      <x:c r="S26" s="36" t="str"/>
      <x:c r="T26" s="36" t="str"/>
      <x:c r="U26" s="36" t="str"/>
    </x:row>
    <x:row r="27" ht="78" customHeight="1">
      <x:c r="A27" s="52" t="n">
        <x:v>23</x:v>
      </x:c>
      <x:c r="B27" s="36" t="str">
        <x:v>DSG-005</x:v>
      </x:c>
      <x:c r="C27" s="36" t="str">
        <x:v>Todas as telas</x:v>
      </x:c>
      <x:c r="D27" s="36" t="str">
        <x:v>Ícones</x:v>
      </x:c>
      <x:c r="E27" s="36" t="str">
        <x:v>Design</x:v>
      </x:c>
      <x:c r="F27" s="52" t="str">
        <x:v>P1</x:v>
      </x:c>
      <x:c r="G27" s="36" t="str">
        <x:v>Telas carregadas</x:v>
      </x:c>
      <x:c r="H27" s="36" t="str">
        <x:v>1. Inspecionar ícones de navegação, ações, métricas e status
2. Checar tamanho e alinhamento</x:v>
      </x:c>
      <x:c r="I27" s="36" t="str">
        <x:v>Material Symbols/Material Icons coerentes, geralmente 24dp, alinhados e com contentDescription; sem emoji como ícone.</x:v>
      </x:c>
      <x:c r="J27" s="36" t="str">
        <x:v>C:\Users\luizg\Documents\7Agents\Claude Design\SignallQ Design System — README icons</x:v>
      </x:c>
      <x:c r="K27" s="36" t="str"/>
      <x:c r="L27" s="52"/>
      <x:c r="M27" s="52"/>
      <x:c r="N27" s="52" t="str">
        <x:f>IF(L27="","",ROUND(L27*'00_Leia_Primeiro'!$B$15/'00_Leia_Primeiro'!$B$13,0))</x:f>
      </x:c>
      <x:c r="O27" s="52" t="str">
        <x:f>IF(M27="","",ROUND(M27*'00_Leia_Primeiro'!$B$16/'00_Leia_Primeiro'!$B$14,0))</x:f>
      </x:c>
      <x:c r="P27" s="36" t="str"/>
      <x:c r="Q27" s="36" t="str">
        <x:v>Screenshot + logcat do período</x:v>
      </x:c>
      <x:c r="R27" s="52" t="str">
        <x:v>Não iniciado</x:v>
      </x:c>
      <x:c r="S27" s="36" t="str"/>
      <x:c r="T27" s="36" t="str"/>
      <x:c r="U27" s="36" t="str"/>
    </x:row>
    <x:row r="28" ht="78" customHeight="1">
      <x:c r="A28" s="52" t="n">
        <x:v>24</x:v>
      </x:c>
      <x:c r="B28" s="36" t="str">
        <x:v>DSG-006</x:v>
      </x:c>
      <x:c r="C28" s="36" t="str">
        <x:v>Todas as telas</x:v>
      </x:c>
      <x:c r="D28" s="36" t="str">
        <x:v>Fonte grande</x:v>
      </x:c>
      <x:c r="E28" s="36" t="str">
        <x:v>Acessibilidade</x:v>
      </x:c>
      <x:c r="F28" s="52" t="str">
        <x:v>P0</x:v>
      </x:c>
      <x:c r="G28" s="36" t="str">
        <x:v>font_scale = 1.3 e depois 1.5</x:v>
      </x:c>
      <x:c r="H28" s="36" t="str">
        <x:v>1. Alterar font_scale via ADB
2. Reiniciar app
3. Percorrer telas principais e CTAs</x:v>
      </x:c>
      <x:c r="I28" s="36" t="str">
        <x:v>Textos refluem; botões aumentam altura; não há sobreposição, corte ou CTA inacessível.</x:v>
      </x:c>
      <x:c r="J28" s="36" t="str">
        <x:v>Commits c83098d8 / 9670e688 — layout com fonte grande</x:v>
      </x:c>
      <x:c r="K28" s="36" t="str"/>
      <x:c r="L28" s="52"/>
      <x:c r="M28" s="52"/>
      <x:c r="N28" s="52" t="str">
        <x:f>IF(L28="","",ROUND(L28*'00_Leia_Primeiro'!$B$15/'00_Leia_Primeiro'!$B$13,0))</x:f>
      </x:c>
      <x:c r="O28" s="52" t="str">
        <x:f>IF(M28="","",ROUND(M28*'00_Leia_Primeiro'!$B$16/'00_Leia_Primeiro'!$B$14,0))</x:f>
      </x:c>
      <x:c r="P28" s="36" t="str"/>
      <x:c r="Q28" s="36" t="str">
        <x:v>Screenshot + logcat do período</x:v>
      </x:c>
      <x:c r="R28" s="52" t="str">
        <x:v>Não iniciado</x:v>
      </x:c>
      <x:c r="S28" s="36" t="str"/>
      <x:c r="T28" s="36" t="str"/>
      <x:c r="U28" s="36" t="str"/>
    </x:row>
    <x:row r="29" ht="78" customHeight="1">
      <x:c r="A29" s="52" t="n">
        <x:v>25</x:v>
      </x:c>
      <x:c r="B29" s="36" t="str">
        <x:v>DSG-007</x:v>
      </x:c>
      <x:c r="C29" s="36" t="str">
        <x:v>Todas as telas</x:v>
      </x:c>
      <x:c r="D29" s="36" t="str">
        <x:v>Áreas de toque e leitor de tela</x:v>
      </x:c>
      <x:c r="E29" s="36" t="str">
        <x:v>Acessibilidade</x:v>
      </x:c>
      <x:c r="F29" s="52" t="str">
        <x:v>P1</x:v>
      </x:c>
      <x:c r="G29" s="36" t="str">
        <x:v>TalkBack ou Accessibility Scanner disponível</x:v>
      </x:c>
      <x:c r="H29" s="36" t="str">
        <x:v>1. Inspecionar alvos de toque
2. Percorrer foco
3. Verificar nome, função e estado</x:v>
      </x:c>
      <x:c r="I29" s="36" t="str">
        <x:v>Alvos essenciais &gt;=48dp; ordem de foco lógica; ícones acionáveis têm descrição; toggles anunciam estado.</x:v>
      </x:c>
      <x:c r="J29" s="36" t="str">
        <x:v>Material Design 3 accessibility</x:v>
      </x:c>
      <x:c r="K29" s="36" t="str"/>
      <x:c r="L29" s="52"/>
      <x:c r="M29" s="52"/>
      <x:c r="N29" s="52" t="str">
        <x:f>IF(L29="","",ROUND(L29*'00_Leia_Primeiro'!$B$15/'00_Leia_Primeiro'!$B$13,0))</x:f>
      </x:c>
      <x:c r="O29" s="52" t="str">
        <x:f>IF(M29="","",ROUND(M29*'00_Leia_Primeiro'!$B$16/'00_Leia_Primeiro'!$B$14,0))</x:f>
      </x:c>
      <x:c r="P29" s="36" t="str"/>
      <x:c r="Q29" s="36" t="str">
        <x:v>Screenshot + logcat do período</x:v>
      </x:c>
      <x:c r="R29" s="52" t="str">
        <x:v>Não iniciado</x:v>
      </x:c>
      <x:c r="S29" s="36" t="str"/>
      <x:c r="T29" s="36" t="str"/>
      <x:c r="U29" s="36" t="str"/>
    </x:row>
    <x:row r="30" ht="78" customHeight="1">
      <x:c r="A30" s="52" t="n">
        <x:v>26</x:v>
      </x:c>
      <x:c r="B30" s="36" t="str">
        <x:v>DSG-008</x:v>
      </x:c>
      <x:c r="C30" s="36" t="str">
        <x:v>Todas as telas</x:v>
      </x:c>
      <x:c r="D30" s="36" t="str">
        <x:v>Métricas com valor bruto + veredito</x:v>
      </x:c>
      <x:c r="E30" s="36" t="str">
        <x:v>Design</x:v>
      </x:c>
      <x:c r="F30" s="52" t="str">
        <x:v>P1</x:v>
      </x:c>
      <x:c r="G30" s="36" t="str">
        <x:v>Telas com métricas carregadas</x:v>
      </x:c>
      <x:c r="H30" s="36" t="str">
        <x:v>1. Inspecionar cards de download, upload, ping, jitter, perda, RSSI e afins</x:v>
      </x:c>
      <x:c r="I30" s="36" t="str">
        <x:v>Métrica mostra valor/unidade e avaliação em linguagem simples; separadores e unidades consistentes; não há dado inventado.</x:v>
      </x:c>
      <x:c r="J30" s="36" t="str">
        <x:v>C:\Users\luizg\Documents\7Agents\Claude Design\SignallQ Design System — regra de métricas do README</x:v>
      </x:c>
      <x:c r="K30" s="36" t="str"/>
      <x:c r="L30" s="52"/>
      <x:c r="M30" s="52"/>
      <x:c r="N30" s="52" t="str">
        <x:f>IF(L30="","",ROUND(L30*'00_Leia_Primeiro'!$B$15/'00_Leia_Primeiro'!$B$13,0))</x:f>
      </x:c>
      <x:c r="O30" s="52" t="str">
        <x:f>IF(M30="","",ROUND(M30*'00_Leia_Primeiro'!$B$16/'00_Leia_Primeiro'!$B$14,0))</x:f>
      </x:c>
      <x:c r="P30" s="36" t="str"/>
      <x:c r="Q30" s="36" t="str">
        <x:v>Screenshot + logcat do período</x:v>
      </x:c>
      <x:c r="R30" s="52" t="str">
        <x:v>Não iniciado</x:v>
      </x:c>
      <x:c r="S30" s="36" t="str"/>
      <x:c r="T30" s="36" t="str"/>
      <x:c r="U30" s="36" t="str"/>
    </x:row>
    <x:row r="31" ht="78" customHeight="1">
      <x:c r="A31" s="52" t="n">
        <x:v>27</x:v>
      </x:c>
      <x:c r="B31" s="36" t="str">
        <x:v>ERR-001</x:v>
      </x:c>
      <x:c r="C31" s="36" t="str">
        <x:v>Aplicativo inteiro</x:v>
      </x:c>
      <x:c r="D31" s="36" t="str">
        <x:v>Sem crash/ANR/SecurityException no smoke</x:v>
      </x:c>
      <x:c r="E31" s="36" t="str">
        <x:v>Confiabilidade</x:v>
      </x:c>
      <x:c r="F31" s="52" t="str">
        <x:v>P0</x:v>
      </x:c>
      <x:c r="G31" s="36" t="str">
        <x:v>Executar todos os casos P0</x:v>
      </x:c>
      <x:c r="H31" s="36" t="str">
        <x:v>1. Encerrar captura de logs
2. Pesquisar padrões críticos
3. Correlacionar com timestamps dos casos</x:v>
      </x:c>
      <x:c r="I31" s="36" t="str">
        <x:v>Zero FATAL EXCEPTION, ANR, SecurityException não tratada ou loop de recomposição evidente.</x:v>
      </x:c>
      <x:c r="J31" s="36" t="str">
        <x:v>Crashlytics + logcat</x:v>
      </x:c>
      <x:c r="K31" s="36" t="str"/>
      <x:c r="L31" s="52"/>
      <x:c r="M31" s="52"/>
      <x:c r="N31" s="52" t="str">
        <x:f>IF(L31="","",ROUND(L31*'00_Leia_Primeiro'!$B$15/'00_Leia_Primeiro'!$B$13,0))</x:f>
      </x:c>
      <x:c r="O31" s="52" t="str">
        <x:f>IF(M31="","",ROUND(M31*'00_Leia_Primeiro'!$B$16/'00_Leia_Primeiro'!$B$14,0))</x:f>
      </x:c>
      <x:c r="P31" s="36" t="str"/>
      <x:c r="Q31" s="36" t="str">
        <x:v>Screenshot + logcat do período</x:v>
      </x:c>
      <x:c r="R31" s="52" t="str">
        <x:v>Não iniciado</x:v>
      </x:c>
      <x:c r="S31" s="36" t="str"/>
      <x:c r="T31" s="36" t="str"/>
      <x:c r="U31" s="36" t="str"/>
    </x:row>
  </x:sheetData>
  <x:mergeCells>
    <x:mergeCell ref="A1:U1"/>
    <x:mergeCell ref="A2:U2"/>
  </x:mergeCells>
  <x:conditionalFormatting sqref="R5:R31">
    <x:cfRule type="expression" dxfId="0" priority="1">
      <x:formula>R5="Passou"</x:formula>
    </x:cfRule>
    <x:cfRule type="expression" dxfId="1" priority="2">
      <x:formula>R5="Falhou"</x:formula>
    </x:cfRule>
    <x:cfRule type="expression" dxfId="2" priority="3">
      <x:formula>R5="Bloqueado"</x:formula>
    </x:cfRule>
    <x:cfRule type="expression" dxfId="3" priority="4">
      <x:formula>R5="Em execução"</x:formula>
    </x:cfRule>
    <x:cfRule type="expression" dxfId="4" priority="5">
      <x:formula>R5="N/A"</x:formula>
    </x:cfRule>
  </x:conditionalFormatting>
  <x:conditionalFormatting sqref="F5:F31">
    <x:cfRule type="expression" dxfId="5" priority="6">
      <x:formula>F5="P0"</x:formula>
    </x:cfRule>
    <x:cfRule type="expression" dxfId="6" priority="7">
      <x:formula>F5="P1"</x:formula>
    </x:cfRule>
  </x:conditionalFormatting>
  <x:dataValidations count="2">
    <x:dataValidation type="list" sqref="F5:F31">
      <x:formula1>"P0,P1,P2,P3"</x:formula1>
    </x:dataValidation>
    <x:dataValidation type="list" sqref="R5:R31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65f8933a314d2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7" hidden="0" customWidth="1"/>
    <x:col min="5" max="5" width="16" hidden="0" customWidth="1"/>
    <x:col min="6" max="6" width="10" hidden="0" customWidth="1"/>
    <x:col min="7" max="7" width="34" hidden="0" customWidth="1"/>
    <x:col min="8" max="8" width="48" hidden="0" customWidth="1"/>
    <x:col min="9" max="9" width="48" hidden="0" customWidth="1"/>
    <x:col min="10" max="10" width="42" hidden="0" customWidth="1"/>
    <x:col min="11" max="11" width="24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32" hidden="0" customWidth="1"/>
    <x:col min="17" max="17" width="28" hidden="0" customWidth="1"/>
    <x:col min="18" max="18" width="16" hidden="0" customWidth="1"/>
    <x:col min="19" max="19" width="20" hidden="0" customWidth="1"/>
    <x:col min="20" max="20" width="34" hidden="0" customWidth="1"/>
    <x:col min="21" max="21" width="27" hidden="0" customWidth="1"/>
  </x:cols>
  <x:sheetData>
    <x:row r="1" ht="32" customHeight="1">
      <x:c r="A1" s="5" t="str">
        <x:v>Tela Início e componentes relacionados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3" t="str">
        <x:v>Execute em ordem. Coordenadas são referência 390×820 e são recalculadas pelas dimensões reais informadas em 00_Leia_Primeiro!B15:B16. Use seletor semântico antes de tap por coordenada.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</x:row>
    <x:row r="4" ht="44" customHeight="1">
      <x:c r="A4" s="28" t="str">
        <x:v>Ordem</x:v>
      </x:c>
      <x:c r="B4" s="28" t="str">
        <x:v>ID</x:v>
      </x:c>
      <x:c r="C4" s="28" t="str">
        <x:v>Tela / componente</x:v>
      </x:c>
      <x:c r="D4" s="28" t="str">
        <x:v>Estado / cenário</x:v>
      </x:c>
      <x:c r="E4" s="28" t="str">
        <x:v>Categoria</x:v>
      </x:c>
      <x:c r="F4" s="28" t="str">
        <x:v>Prioridade</x:v>
      </x:c>
      <x:c r="G4" s="28" t="str">
        <x:v>Pré-condições</x:v>
      </x:c>
      <x:c r="H4" s="28" t="str">
        <x:v>Passo a passo</x:v>
      </x:c>
      <x:c r="I4" s="28" t="str">
        <x:v>Resultado esperado</x:v>
      </x:c>
      <x:c r="J4" s="28" t="str">
        <x:v>Referência design / código</x:v>
      </x:c>
      <x:c r="K4" s="28" t="str">
        <x:v>Ação / alvo</x:v>
      </x:c>
      <x:c r="L4" s="28" t="str">
        <x:v>X base 390</x:v>
      </x:c>
      <x:c r="M4" s="28" t="str">
        <x:v>Y base 820</x:v>
      </x:c>
      <x:c r="N4" s="28" t="str">
        <x:v>X device</x:v>
      </x:c>
      <x:c r="O4" s="28" t="str">
        <x:v>Y device</x:v>
      </x:c>
      <x:c r="P4" s="28" t="str">
        <x:v>Seletor preferencial</x:v>
      </x:c>
      <x:c r="Q4" s="28" t="str">
        <x:v>Evidência esperada</x:v>
      </x:c>
      <x:c r="R4" s="28" t="str">
        <x:v>Status</x:v>
      </x:c>
      <x:c r="S4" s="28" t="str">
        <x:v>Bug GitHub</x:v>
      </x:c>
      <x:c r="T4" s="28" t="str">
        <x:v>Observações</x:v>
      </x:c>
      <x:c r="U4" s="28" t="str">
        <x:v>Bloqueador / dependência</x:v>
      </x:c>
    </x:row>
    <x:row r="5" ht="78" customHeight="1">
      <x:c r="A5" s="52" t="n">
        <x:v>1</x:v>
      </x:c>
      <x:c r="B5" s="36" t="str">
        <x:v>HOME-001</x:v>
      </x:c>
      <x:c r="C5" s="36" t="str">
        <x:v>Início</x:v>
      </x:c>
      <x:c r="D5" s="36" t="str">
        <x:v>Estrutura To-Be e caminho da internet</x:v>
      </x:c>
      <x:c r="E5" s="36" t="str">
        <x:v>Design</x:v>
      </x:c>
      <x:c r="F5" s="52" t="str">
        <x:v>P0</x:v>
      </x:c>
      <x:c r="G5" s="36" t="str">
        <x:v>Rede Wi-Fi conectada; dados disponíveis</x:v>
      </x:c>
      <x:c r="H5" s="36" t="str">
        <x:v>1. Abrir aba Início
2. Capturar tela do topo ao fim
3. Comparar hierarquia e scroll</x:v>
      </x:c>
      <x:c r="I5" s="36" t="str">
        <x:v>Topbar com avatar; seção Caminho da sua internet; dispositivo, gateway e operadora; medição/ações; cards sem redundância e sem overflow.</x:v>
      </x:c>
      <x:c r="J5" s="36" t="str">
        <x:v>C:\Users\luizg\Documents\7Agents\Claude Design\SignallQ Design System — tobe/HomeScreen; HomeScreen.kt</x:v>
      </x:c>
      <x:c r="K5" s="36" t="str">
        <x:v>Aba Início</x:v>
      </x:c>
      <x:c r="L5" s="52" t="n">
        <x:v>39</x:v>
      </x:c>
      <x:c r="M5" s="52" t="n">
        <x:v>785</x:v>
      </x:c>
      <x:c r="N5" s="52" t="n">
        <x:f>IF(L5="","",ROUND(L5*'00_Leia_Primeiro'!$B$15/'00_Leia_Primeiro'!$B$13,0))</x:f>
        <x:v>39</x:v>
      </x:c>
      <x:c r="O5" s="52" t="n">
        <x:f>IF(M5="","",ROUND(M5*'00_Leia_Primeiro'!$B$16/'00_Leia_Primeiro'!$B$14,0))</x:f>
        <x:v>785</x:v>
      </x:c>
      <x:c r="P5" s="36" t="str">
        <x:v>text=Início</x:v>
      </x:c>
      <x:c r="Q5" s="36" t="str">
        <x:v>Screenshot + logcat do período</x:v>
      </x:c>
      <x:c r="R5" s="52" t="str">
        <x:v>Não iniciado</x:v>
      </x:c>
      <x:c r="S5" s="36" t="str"/>
      <x:c r="T5" s="36" t="str"/>
      <x:c r="U5" s="36" t="str"/>
    </x:row>
    <x:row r="6" ht="78" customHeight="1">
      <x:c r="A6" s="52" t="n">
        <x:v>2</x:v>
      </x:c>
      <x:c r="B6" s="36" t="str">
        <x:v>HOME-002</x:v>
      </x:c>
      <x:c r="C6" s="36" t="str">
        <x:v>Início</x:v>
      </x:c>
      <x:c r="D6" s="36" t="str">
        <x:v>Avatar abre Perfil/Ajustes</x:v>
      </x:c>
      <x:c r="E6" s="36" t="str">
        <x:v>Navegação</x:v>
      </x:c>
      <x:c r="F6" s="52" t="str">
        <x:v>P0</x:v>
      </x:c>
      <x:c r="G6" s="36" t="str">
        <x:v>Na Home</x:v>
      </x:c>
      <x:c r="H6" s="36" t="str">
        <x:v>1. Tocar no avatar
2. Observar overlay aberto
3. Pressionar back</x:v>
      </x:c>
      <x:c r="I6" s="36" t="str">
        <x:v>Abre Perfil/Ajustes como overlay; back retorna exatamente à Home.</x:v>
      </x:c>
      <x:c r="J6" s="36" t="str">
        <x:v>AppShell.kt — onAbrirPerfilOverlay</x:v>
      </x:c>
      <x:c r="K6" s="36" t="str">
        <x:v>Avatar</x:v>
      </x:c>
      <x:c r="L6" s="52" t="n">
        <x:v>28</x:v>
      </x:c>
      <x:c r="M6" s="52" t="n">
        <x:v>52</x:v>
      </x:c>
      <x:c r="N6" s="52" t="n">
        <x:f>IF(L6="","",ROUND(L6*'00_Leia_Primeiro'!$B$15/'00_Leia_Primeiro'!$B$13,0))</x:f>
        <x:v>28</x:v>
      </x:c>
      <x:c r="O6" s="52" t="n">
        <x:f>IF(M6="","",ROUND(M6*'00_Leia_Primeiro'!$B$16/'00_Leia_Primeiro'!$B$14,0))</x:f>
        <x:v>52</x:v>
      </x:c>
      <x:c r="P6" s="36" t="str">
        <x:v>contentDescription~perfil|avatar</x:v>
      </x:c>
      <x:c r="Q6" s="36" t="str">
        <x:v>Screenshot + logcat do período</x:v>
      </x:c>
      <x:c r="R6" s="52" t="str">
        <x:v>Não iniciado</x:v>
      </x:c>
      <x:c r="S6" s="36" t="str"/>
      <x:c r="T6" s="36" t="str"/>
      <x:c r="U6" s="36" t="str"/>
    </x:row>
    <x:row r="7" ht="78" customHeight="1">
      <x:c r="A7" s="52" t="n">
        <x:v>3</x:v>
      </x:c>
      <x:c r="B7" s="36" t="str">
        <x:v>HOME-003</x:v>
      </x:c>
      <x:c r="C7" s="36" t="str">
        <x:v>Início</x:v>
      </x:c>
      <x:c r="D7" s="36" t="str">
        <x:v>Nó do dispositivo abre informações</x:v>
      </x:c>
      <x:c r="E7" s="36" t="str">
        <x:v>Funcional</x:v>
      </x:c>
      <x:c r="F7" s="52" t="str">
        <x:v>P1</x:v>
      </x:c>
      <x:c r="G7" s="36" t="str">
        <x:v>Caminho da internet visível</x:v>
      </x:c>
      <x:c r="H7" s="36" t="str">
        <x:v>1. Tocar no nó do telefone/dispositivo
2. Validar dados exibidos
3. Fechar sheet</x:v>
      </x:c>
      <x:c r="I7" s="36" t="str">
        <x:v>Sheet mostra nome/dispositivo, IP local e informações disponíveis; ausências aparecem como não disponível, não como valor falso.</x:v>
      </x:c>
      <x:c r="J7" s="36" t="str">
        <x:v>C:\Users\luizg\Documents\7Agents\Claude Design\SignallQ Design System — DeviceInfoSheet</x:v>
      </x:c>
      <x:c r="K7" s="36" t="str">
        <x:v>Nó dispositivo</x:v>
      </x:c>
      <x:c r="L7" s="52" t="n">
        <x:v>62</x:v>
      </x:c>
      <x:c r="M7" s="52" t="n">
        <x:v>165</x:v>
      </x:c>
      <x:c r="N7" s="52" t="n">
        <x:f>IF(L7="","",ROUND(L7*'00_Leia_Primeiro'!$B$15/'00_Leia_Primeiro'!$B$13,0))</x:f>
        <x:v>62</x:v>
      </x:c>
      <x:c r="O7" s="52" t="n">
        <x:f>IF(M7="","",ROUND(M7*'00_Leia_Primeiro'!$B$16/'00_Leia_Primeiro'!$B$14,0))</x:f>
        <x:v>165</x:v>
      </x:c>
      <x:c r="P7" s="36" t="str">
        <x:v>text~Este dispositivo|Seu dispositivo</x:v>
      </x:c>
      <x:c r="Q7" s="36" t="str">
        <x:v>Screenshot + logcat do período</x:v>
      </x:c>
      <x:c r="R7" s="52" t="str">
        <x:v>Não iniciado</x:v>
      </x:c>
      <x:c r="S7" s="36" t="str"/>
      <x:c r="T7" s="36" t="str"/>
      <x:c r="U7" s="36" t="str"/>
    </x:row>
    <x:row r="8" ht="78" customHeight="1">
      <x:c r="A8" s="52" t="n">
        <x:v>4</x:v>
      </x:c>
      <x:c r="B8" s="36" t="str">
        <x:v>HOME-004</x:v>
      </x:c>
      <x:c r="C8" s="36" t="str">
        <x:v>Início</x:v>
      </x:c>
      <x:c r="D8" s="36" t="str">
        <x:v>Gateway confirmado sem sessão abre login</x:v>
      </x:c>
      <x:c r="E8" s="36" t="str">
        <x:v>Funcional</x:v>
      </x:c>
      <x:c r="F8" s="52" t="str">
        <x:v>P0</x:v>
      </x:c>
      <x:c r="G8" s="36" t="str">
        <x:v>Rede classificada como roteador; sessão não válida</x:v>
      </x:c>
      <x:c r="H8" s="36" t="str">
        <x:v>1. Tocar no nó gateway
2. Preencher IP/usuário/senha válidos no fluxo mock/real disponível
3. Conectar</x:v>
      </x:c>
      <x:c r="I8" s="36" t="str">
        <x:v>Abre GatewayConnectionSheet; conexão bem-sucedida persiste opções selecionadas e navega ao equipamento.</x:v>
      </x:c>
      <x:c r="J8" s="36" t="str">
        <x:v>AppShell.kt — gatewaySessaoValida / GatewayConnectionSheet</x:v>
      </x:c>
      <x:c r="K8" s="36" t="str">
        <x:v>Nó gateway</x:v>
      </x:c>
      <x:c r="L8" s="52" t="n">
        <x:v>195</x:v>
      </x:c>
      <x:c r="M8" s="52" t="n">
        <x:v>165</x:v>
      </x:c>
      <x:c r="N8" s="52" t="n">
        <x:f>IF(L8="","",ROUND(L8*'00_Leia_Primeiro'!$B$15/'00_Leia_Primeiro'!$B$13,0))</x:f>
        <x:v>195</x:v>
      </x:c>
      <x:c r="O8" s="52" t="n">
        <x:f>IF(M8="","",ROUND(M8*'00_Leia_Primeiro'!$B$16/'00_Leia_Primeiro'!$B$14,0))</x:f>
        <x:v>165</x:v>
      </x:c>
      <x:c r="P8" s="36" t="str">
        <x:v>text~Roteador</x:v>
      </x:c>
      <x:c r="Q8" s="36" t="str">
        <x:v>Screenshot + logcat do período</x:v>
      </x:c>
      <x:c r="R8" s="52" t="str">
        <x:v>Não iniciado</x:v>
      </x:c>
      <x:c r="S8" s="36" t="str"/>
      <x:c r="T8" s="36" t="str"/>
      <x:c r="U8" s="36" t="str"/>
    </x:row>
    <x:row r="9" ht="78" customHeight="1">
      <x:c r="A9" s="52" t="n">
        <x:v>5</x:v>
      </x:c>
      <x:c r="B9" s="36" t="str">
        <x:v>HOME-005</x:v>
      </x:c>
      <x:c r="C9" s="36" t="str">
        <x:v>Início</x:v>
      </x:c>
      <x:c r="D9" s="36" t="str">
        <x:v>Mesh provável não dispara login de roteador</x:v>
      </x:c>
      <x:c r="E9" s="36" t="str">
        <x:v>Funcional</x:v>
      </x:c>
      <x:c r="F9" s="52" t="str">
        <x:v>P0</x:v>
      </x:c>
      <x:c r="G9" s="36" t="str">
        <x:v>Topologia com confiança média/baixa classificada como mesh provável</x:v>
      </x:c>
      <x:c r="H9" s="36" t="str">
        <x:v>1. Abrir Home
2. Tocar no nó gateway classificado
3. Observar sheet</x:v>
      </x:c>
      <x:c r="I9" s="36" t="str">
        <x:v>Mostra papel como 'Rede Mesh (provável)' ou equivalente; não abre fluxo de credenciais como roteador confirmado.</x:v>
      </x:c>
      <x:c r="J9" s="36" t="str">
        <x:v>Commit 0ab2ffd2b333c1e10f1a7cddca2d09d3351b67be</x:v>
      </x:c>
      <x:c r="K9" s="36" t="str">
        <x:v>Nó mesh</x:v>
      </x:c>
      <x:c r="L9" s="52" t="n">
        <x:v>195</x:v>
      </x:c>
      <x:c r="M9" s="52" t="n">
        <x:v>165</x:v>
      </x:c>
      <x:c r="N9" s="52" t="n">
        <x:f>IF(L9="","",ROUND(L9*'00_Leia_Primeiro'!$B$15/'00_Leia_Primeiro'!$B$13,0))</x:f>
        <x:v>195</x:v>
      </x:c>
      <x:c r="O9" s="52" t="n">
        <x:f>IF(M9="","",ROUND(M9*'00_Leia_Primeiro'!$B$16/'00_Leia_Primeiro'!$B$14,0))</x:f>
        <x:v>165</x:v>
      </x:c>
      <x:c r="P9" s="36" t="str"/>
      <x:c r="Q9" s="36" t="str">
        <x:v>Screenshot + logcat do período</x:v>
      </x:c>
      <x:c r="R9" s="52" t="str">
        <x:v>Não iniciado</x:v>
      </x:c>
      <x:c r="S9" s="36" t="str"/>
      <x:c r="T9" s="36" t="str"/>
      <x:c r="U9" s="36" t="str"/>
    </x:row>
    <x:row r="10" ht="78" customHeight="1">
      <x:c r="A10" s="52" t="n">
        <x:v>6</x:v>
      </x:c>
      <x:c r="B10" s="36" t="str">
        <x:v>HOME-006</x:v>
      </x:c>
      <x:c r="C10" s="36" t="str">
        <x:v>Início</x:v>
      </x:c>
      <x:c r="D10" s="36" t="str">
        <x:v>Sessão válida pula login</x:v>
      </x:c>
      <x:c r="E10" s="36" t="str">
        <x:v>Funcional</x:v>
      </x:c>
      <x:c r="F10" s="52" t="str">
        <x:v>P1</x:v>
      </x:c>
      <x:c r="G10" s="36" t="str">
        <x:v>Credencial salva, manter conectado ativo e BSSID atual igual ao vinculado</x:v>
      </x:c>
      <x:c r="H10" s="36" t="str">
        <x:v>1. Reabrir app na mesma rede
2. Abrir Home
3. Tocar no gateway</x:v>
      </x:c>
      <x:c r="I10" s="36" t="str">
        <x:v>Autoconexão silenciosa ocorre; nó abre detalhe do equipamento sem solicitar senha novamente.</x:v>
      </x:c>
      <x:c r="J10" s="36" t="str">
        <x:v>AppShell.kt — bssidElegivelParaAutoconexao</x:v>
      </x:c>
      <x:c r="K10" s="36" t="str"/>
      <x:c r="L10" s="52"/>
      <x:c r="M10" s="52"/>
      <x:c r="N10" s="52" t="str">
        <x:f>IF(L10="","",ROUND(L10*'00_Leia_Primeiro'!$B$15/'00_Leia_Primeiro'!$B$13,0))</x:f>
      </x:c>
      <x:c r="O10" s="52" t="str">
        <x:f>IF(M10="","",ROUND(M10*'00_Leia_Primeiro'!$B$16/'00_Leia_Primeiro'!$B$14,0))</x:f>
      </x:c>
      <x:c r="P10" s="36" t="str"/>
      <x:c r="Q10" s="36" t="str">
        <x:v>Screenshot + logcat do período</x:v>
      </x:c>
      <x:c r="R10" s="52" t="str">
        <x:v>Não iniciado</x:v>
      </x:c>
      <x:c r="S10" s="36" t="str"/>
      <x:c r="T10" s="36" t="str"/>
      <x:c r="U10" s="36" t="str"/>
    </x:row>
    <x:row r="11" ht="78" customHeight="1">
      <x:c r="A11" s="52" t="n">
        <x:v>7</x:v>
      </x:c>
      <x:c r="B11" s="36" t="str">
        <x:v>HOME-007</x:v>
      </x:c>
      <x:c r="C11" s="36" t="str">
        <x:v>Início</x:v>
      </x:c>
      <x:c r="D11" s="36" t="str">
        <x:v>Troca de BSSID invalida sessão</x:v>
      </x:c>
      <x:c r="E11" s="36" t="str">
        <x:v>Funcional</x:v>
      </x:c>
      <x:c r="F11" s="52" t="str">
        <x:v>P1</x:v>
      </x:c>
      <x:c r="G11" s="36" t="str">
        <x:v>Sessão salva em outra BSSID</x:v>
      </x:c>
      <x:c r="H11" s="36" t="str">
        <x:v>1. Conectar em rede/BSSID diferente
2. Abrir Home
3. Tocar no gateway</x:v>
      </x:c>
      <x:c r="I11" s="36" t="str">
        <x:v>Sessão antiga não é reutilizada; abre login manual ou estado desconectado sem vazar credencial.</x:v>
      </x:c>
      <x:c r="J11" s="36" t="str">
        <x:v>AppShell.kt — elegibilidade por BSSID</x:v>
      </x:c>
      <x:c r="K11" s="36" t="str"/>
      <x:c r="L11" s="52"/>
      <x:c r="M11" s="52"/>
      <x:c r="N11" s="52" t="str">
        <x:f>IF(L11="","",ROUND(L11*'00_Leia_Primeiro'!$B$15/'00_Leia_Primeiro'!$B$13,0))</x:f>
      </x:c>
      <x:c r="O11" s="52" t="str">
        <x:f>IF(M11="","",ROUND(M11*'00_Leia_Primeiro'!$B$16/'00_Leia_Primeiro'!$B$14,0))</x:f>
      </x:c>
      <x:c r="P11" s="36" t="str"/>
      <x:c r="Q11" s="36" t="str">
        <x:v>Screenshot + logcat do período</x:v>
      </x:c>
      <x:c r="R11" s="52" t="str">
        <x:v>Não iniciado</x:v>
      </x:c>
      <x:c r="S11" s="36" t="str"/>
      <x:c r="T11" s="36" t="str"/>
      <x:c r="U11" s="36" t="str"/>
    </x:row>
    <x:row r="12" ht="78" customHeight="1">
      <x:c r="A12" s="52" t="n">
        <x:v>8</x:v>
      </x:c>
      <x:c r="B12" s="36" t="str">
        <x:v>HOME-008</x:v>
      </x:c>
      <x:c r="C12" s="36" t="str">
        <x:v>Início</x:v>
      </x:c>
      <x:c r="D12" s="36" t="str">
        <x:v>Operadora abre informações e contato</x:v>
      </x:c>
      <x:c r="E12" s="36" t="str">
        <x:v>Funcional</x:v>
      </x:c>
      <x:c r="F12" s="52" t="str">
        <x:v>P1</x:v>
      </x:c>
      <x:c r="G12" s="36" t="str">
        <x:v>ISP detectado ou cadastrado</x:v>
      </x:c>
      <x:c r="H12" s="36" t="str">
        <x:v>1. Tocar no nó/badge da operadora
2. Aguardar resolução local/remota
3. Validar nome, logo/monograma e contatos</x:v>
      </x:c>
      <x:c r="I12" s="36" t="str">
        <x:v>Identidade vem do catálogo local, diretório remoto ou fallback honesto; nenhum contato inventado; sheet fecha corretamente.</x:v>
      </x:c>
      <x:c r="J12" s="36" t="str">
        <x:v>Commit 5ef4b9581d6630f874ed59bcd9f7fa3f9c49a4aa</x:v>
      </x:c>
      <x:c r="K12" s="36" t="str">
        <x:v>Nó operadora</x:v>
      </x:c>
      <x:c r="L12" s="52" t="n">
        <x:v>328</x:v>
      </x:c>
      <x:c r="M12" s="52" t="n">
        <x:v>165</x:v>
      </x:c>
      <x:c r="N12" s="52" t="n">
        <x:f>IF(L12="","",ROUND(L12*'00_Leia_Primeiro'!$B$15/'00_Leia_Primeiro'!$B$13,0))</x:f>
        <x:v>328</x:v>
      </x:c>
      <x:c r="O12" s="52" t="n">
        <x:f>IF(M12="","",ROUND(M12*'00_Leia_Primeiro'!$B$16/'00_Leia_Primeiro'!$B$14,0))</x:f>
        <x:v>165</x:v>
      </x:c>
      <x:c r="P12" s="36" t="str">
        <x:v>text~Operadora|Provedor</x:v>
      </x:c>
      <x:c r="Q12" s="36" t="str">
        <x:v>Screenshot + logcat do período</x:v>
      </x:c>
      <x:c r="R12" s="52" t="str">
        <x:v>Não iniciado</x:v>
      </x:c>
      <x:c r="S12" s="36" t="str"/>
      <x:c r="T12" s="36" t="str"/>
      <x:c r="U12" s="36" t="str"/>
    </x:row>
    <x:row r="13" ht="78" customHeight="1">
      <x:c r="A13" s="52" t="n">
        <x:v>9</x:v>
      </x:c>
      <x:c r="B13" s="36" t="str">
        <x:v>HOME-009</x:v>
      </x:c>
      <x:c r="C13" s="36" t="str">
        <x:v>Início</x:v>
      </x:c>
      <x:c r="D13" s="36" t="str">
        <x:v>Medição mais recente</x:v>
      </x:c>
      <x:c r="E13" s="36" t="str">
        <x:v>Funcional</x:v>
      </x:c>
      <x:c r="F13" s="52" t="str">
        <x:v>P1</x:v>
      </x:c>
      <x:c r="G13" s="36" t="str">
        <x:v>Existe resultado salvo</x:v>
      </x:c>
      <x:c r="H13" s="36" t="str">
        <x:v>1. Comparar card da Home com resultado e histórico
2. Validar download/upload, timestamp e unidade</x:v>
      </x:c>
      <x:c r="I13" s="36" t="str">
        <x:v>Valores e data correspondem ao registro persistido; sem arredondamento contraditório entre telas.</x:v>
      </x:c>
      <x:c r="J13" s="36" t="str">
        <x:v>HomeScreen.kt + Room MedicaoEntity</x:v>
      </x:c>
      <x:c r="K13" s="36" t="str"/>
      <x:c r="L13" s="52"/>
      <x:c r="M13" s="52"/>
      <x:c r="N13" s="52" t="str">
        <x:f>IF(L13="","",ROUND(L13*'00_Leia_Primeiro'!$B$15/'00_Leia_Primeiro'!$B$13,0))</x:f>
      </x:c>
      <x:c r="O13" s="52" t="str">
        <x:f>IF(M13="","",ROUND(M13*'00_Leia_Primeiro'!$B$16/'00_Leia_Primeiro'!$B$14,0))</x:f>
      </x:c>
      <x:c r="P13" s="36" t="str"/>
      <x:c r="Q13" s="36" t="str">
        <x:v>Screenshot + logcat do período</x:v>
      </x:c>
      <x:c r="R13" s="52" t="str">
        <x:v>Não iniciado</x:v>
      </x:c>
      <x:c r="S13" s="36" t="str"/>
      <x:c r="T13" s="36" t="str"/>
      <x:c r="U13" s="36" t="str"/>
    </x:row>
    <x:row r="14" ht="78" customHeight="1">
      <x:c r="A14" s="52" t="n">
        <x:v>10</x:v>
      </x:c>
      <x:c r="B14" s="36" t="str">
        <x:v>HOME-010</x:v>
      </x:c>
      <x:c r="C14" s="36" t="str">
        <x:v>Início</x:v>
      </x:c>
      <x:c r="D14" s="36" t="str">
        <x:v>CTA Medir velocidade</x:v>
      </x:c>
      <x:c r="E14" s="36" t="str">
        <x:v>Navegação</x:v>
      </x:c>
      <x:c r="F14" s="52" t="str">
        <x:v>P0</x:v>
      </x:c>
      <x:c r="G14" s="36" t="str">
        <x:v>Sem teste em execução</x:v>
      </x:c>
      <x:c r="H14" s="36" t="str">
        <x:v>1. Tocar em Medir velocidade
2. Observar mudança de aba/fluxo</x:v>
      </x:c>
      <x:c r="I14" s="36" t="str">
        <x:v>Inicia ou leva ao fluxo de velocidade sem abrir tela duplicada; estado de execução aparece.</x:v>
      </x:c>
      <x:c r="J14" s="36" t="str">
        <x:v>C:\Users\luizg\Documents\7Agents\Claude Design\SignallQ Design System — Home CTA; AppShell onIniciarTeste</x:v>
      </x:c>
      <x:c r="K14" s="36" t="str">
        <x:v>Medir velocidade</x:v>
      </x:c>
      <x:c r="L14" s="52" t="n">
        <x:v>195</x:v>
      </x:c>
      <x:c r="M14" s="52" t="n">
        <x:v>405</x:v>
      </x:c>
      <x:c r="N14" s="52" t="n">
        <x:f>IF(L14="","",ROUND(L14*'00_Leia_Primeiro'!$B$15/'00_Leia_Primeiro'!$B$13,0))</x:f>
        <x:v>195</x:v>
      </x:c>
      <x:c r="O14" s="52" t="n">
        <x:f>IF(M14="","",ROUND(M14*'00_Leia_Primeiro'!$B$16/'00_Leia_Primeiro'!$B$14,0))</x:f>
        <x:v>405</x:v>
      </x:c>
      <x:c r="P14" s="36" t="str">
        <x:v>text=Medir velocidade</x:v>
      </x:c>
      <x:c r="Q14" s="36" t="str">
        <x:v>Screenshot + logcat do período</x:v>
      </x:c>
      <x:c r="R14" s="52" t="str">
        <x:v>Não iniciado</x:v>
      </x:c>
      <x:c r="S14" s="36" t="str"/>
      <x:c r="T14" s="36" t="str"/>
      <x:c r="U14" s="36" t="str"/>
    </x:row>
    <x:row r="15" ht="78" customHeight="1">
      <x:c r="A15" s="52" t="n">
        <x:v>11</x:v>
      </x:c>
      <x:c r="B15" s="36" t="str">
        <x:v>HOME-011</x:v>
      </x:c>
      <x:c r="C15" s="36" t="str">
        <x:v>Início</x:v>
      </x:c>
      <x:c r="D15" s="36" t="str">
        <x:v>Atalho DNS</x:v>
      </x:c>
      <x:c r="E15" s="36" t="str">
        <x:v>Navegação</x:v>
      </x:c>
      <x:c r="F15" s="52" t="str">
        <x:v>P0</x:v>
      </x:c>
      <x:c r="G15" s="36" t="str">
        <x:v>Na Home</x:v>
      </x:c>
      <x:c r="H15" s="36" t="str">
        <x:v>1. Tocar em DNS
2. Validar tela cheia
3. Voltar</x:v>
      </x:c>
      <x:c r="I15" s="36" t="str">
        <x:v>Abre DnsScreen em overlay de tela cheia; back retorna à Home.</x:v>
      </x:c>
      <x:c r="J15" s="36" t="str">
        <x:v>AppShell Overlay.Dns; commit f81c3c...</x:v>
      </x:c>
      <x:c r="K15" s="36" t="str">
        <x:v>DNS</x:v>
      </x:c>
      <x:c r="L15" s="52" t="n">
        <x:v>60</x:v>
      </x:c>
      <x:c r="M15" s="52" t="n">
        <x:v>535</x:v>
      </x:c>
      <x:c r="N15" s="52" t="n">
        <x:f>IF(L15="","",ROUND(L15*'00_Leia_Primeiro'!$B$15/'00_Leia_Primeiro'!$B$13,0))</x:f>
        <x:v>60</x:v>
      </x:c>
      <x:c r="O15" s="52" t="n">
        <x:f>IF(M15="","",ROUND(M15*'00_Leia_Primeiro'!$B$16/'00_Leia_Primeiro'!$B$14,0))</x:f>
        <x:v>535</x:v>
      </x:c>
      <x:c r="P15" s="36" t="str">
        <x:v>text=DNS</x:v>
      </x:c>
      <x:c r="Q15" s="36" t="str">
        <x:v>Screenshot + logcat do período</x:v>
      </x:c>
      <x:c r="R15" s="52" t="str">
        <x:v>Não iniciado</x:v>
      </x:c>
      <x:c r="S15" s="36" t="str"/>
      <x:c r="T15" s="36" t="str"/>
      <x:c r="U15" s="36" t="str"/>
    </x:row>
    <x:row r="16" ht="78" customHeight="1">
      <x:c r="A16" s="52" t="n">
        <x:v>12</x:v>
      </x:c>
      <x:c r="B16" s="36" t="str">
        <x:v>HOME-012</x:v>
      </x:c>
      <x:c r="C16" s="36" t="str">
        <x:v>Início</x:v>
      </x:c>
      <x:c r="D16" s="36" t="str">
        <x:v>Atalho Ping</x:v>
      </x:c>
      <x:c r="E16" s="36" t="str">
        <x:v>Navegação</x:v>
      </x:c>
      <x:c r="F16" s="52" t="str">
        <x:v>P0</x:v>
      </x:c>
      <x:c r="G16" s="36" t="str">
        <x:v>Na Home</x:v>
      </x:c>
      <x:c r="H16" s="36" t="str">
        <x:v>1. Tocar em Ping
2. Executar medição
3. Fechar</x:v>
      </x:c>
      <x:c r="I16" s="36" t="str">
        <x:v>Abre PingScreenSheet; apresenta progresso/resultado/erro tratável; fecha para Home.</x:v>
      </x:c>
      <x:c r="J16" s="36" t="str">
        <x:v>C:\Users\luizg\Documents\7Agents\Claude Design\SignallQ Design System — PingScreenSheet</x:v>
      </x:c>
      <x:c r="K16" s="36" t="str">
        <x:v>Ping</x:v>
      </x:c>
      <x:c r="L16" s="52" t="n">
        <x:v>145</x:v>
      </x:c>
      <x:c r="M16" s="52" t="n">
        <x:v>535</x:v>
      </x:c>
      <x:c r="N16" s="52" t="n">
        <x:f>IF(L16="","",ROUND(L16*'00_Leia_Primeiro'!$B$15/'00_Leia_Primeiro'!$B$13,0))</x:f>
        <x:v>145</x:v>
      </x:c>
      <x:c r="O16" s="52" t="n">
        <x:f>IF(M16="","",ROUND(M16*'00_Leia_Primeiro'!$B$16/'00_Leia_Primeiro'!$B$14,0))</x:f>
        <x:v>535</x:v>
      </x:c>
      <x:c r="P16" s="36" t="str">
        <x:v>text=Ping</x:v>
      </x:c>
      <x:c r="Q16" s="36" t="str">
        <x:v>Screenshot + logcat do período</x:v>
      </x:c>
      <x:c r="R16" s="52" t="str">
        <x:v>Não iniciado</x:v>
      </x:c>
      <x:c r="S16" s="36" t="str"/>
      <x:c r="T16" s="36" t="str"/>
      <x:c r="U16" s="36" t="str"/>
    </x:row>
    <x:row r="17" ht="78" customHeight="1">
      <x:c r="A17" s="52" t="n">
        <x:v>13</x:v>
      </x:c>
      <x:c r="B17" s="36" t="str">
        <x:v>HOME-013</x:v>
      </x:c>
      <x:c r="C17" s="36" t="str">
        <x:v>Início</x:v>
      </x:c>
      <x:c r="D17" s="36" t="str">
        <x:v>Atalho Diagnóstico IA leva ao Laudo</x:v>
      </x:c>
      <x:c r="E17" s="36" t="str">
        <x:v>Navegação</x:v>
      </x:c>
      <x:c r="F17" s="52" t="str">
        <x:v>P0</x:v>
      </x:c>
      <x:c r="G17" s="36" t="str">
        <x:v>Na Home</x:v>
      </x:c>
      <x:c r="H17" s="36" t="str">
        <x:v>1. Tocar em Diagnóstico IA/Diagnóstico
2. Observar destino</x:v>
      </x:c>
      <x:c r="I17" s="36" t="str">
        <x:v>Abre LaudoScreen atual. Não abre chat/SignallQ standalone removido.</x:v>
      </x:c>
      <x:c r="J17" s="36" t="str">
        <x:v>AppShell onAbrirDiagnostico = onAbrirLaudoOverlay; commits c8a2d... e 4f4bcb...</x:v>
      </x:c>
      <x:c r="K17" s="36" t="str">
        <x:v>Diagnóstico</x:v>
      </x:c>
      <x:c r="L17" s="52" t="n">
        <x:v>245</x:v>
      </x:c>
      <x:c r="M17" s="52" t="n">
        <x:v>535</x:v>
      </x:c>
      <x:c r="N17" s="52" t="n">
        <x:f>IF(L17="","",ROUND(L17*'00_Leia_Primeiro'!$B$15/'00_Leia_Primeiro'!$B$13,0))</x:f>
        <x:v>245</x:v>
      </x:c>
      <x:c r="O17" s="52" t="n">
        <x:f>IF(M17="","",ROUND(M17*'00_Leia_Primeiro'!$B$16/'00_Leia_Primeiro'!$B$14,0))</x:f>
        <x:v>535</x:v>
      </x:c>
      <x:c r="P17" s="36" t="str">
        <x:v>text~Diagnóstico</x:v>
      </x:c>
      <x:c r="Q17" s="36" t="str">
        <x:v>Screenshot + logcat do período</x:v>
      </x:c>
      <x:c r="R17" s="52" t="str">
        <x:v>Não iniciado</x:v>
      </x:c>
      <x:c r="S17" s="36" t="str"/>
      <x:c r="T17" s="36" t="str"/>
      <x:c r="U17" s="36" t="str"/>
    </x:row>
    <x:row r="18" ht="78" customHeight="1">
      <x:c r="A18" s="52" t="n">
        <x:v>14</x:v>
      </x:c>
      <x:c r="B18" s="36" t="str">
        <x:v>HOME-014</x:v>
      </x:c>
      <x:c r="C18" s="36" t="str">
        <x:v>Início</x:v>
      </x:c>
      <x:c r="D18" s="36" t="str">
        <x:v>Atalho Dispositivos</x:v>
      </x:c>
      <x:c r="E18" s="36" t="str">
        <x:v>Navegação</x:v>
      </x:c>
      <x:c r="F18" s="52" t="str">
        <x:v>P1</x:v>
      </x:c>
      <x:c r="G18" s="36" t="str">
        <x:v>Na Home</x:v>
      </x:c>
      <x:c r="H18" s="36" t="str">
        <x:v>1. Tocar em Dispositivos
2. Validar overlay e voltar</x:v>
      </x:c>
      <x:c r="I18" s="36" t="str">
        <x:v>Abre DispositivosScreen e retorna à Home sem alterar a aba.</x:v>
      </x:c>
      <x:c r="J18" s="36" t="str">
        <x:v>AppShell Overlay.Dispositivos</x:v>
      </x:c>
      <x:c r="K18" s="36" t="str">
        <x:v>Dispositivos</x:v>
      </x:c>
      <x:c r="L18" s="52" t="n">
        <x:v>330</x:v>
      </x:c>
      <x:c r="M18" s="52" t="n">
        <x:v>535</x:v>
      </x:c>
      <x:c r="N18" s="52" t="n">
        <x:f>IF(L18="","",ROUND(L18*'00_Leia_Primeiro'!$B$15/'00_Leia_Primeiro'!$B$13,0))</x:f>
        <x:v>330</x:v>
      </x:c>
      <x:c r="O18" s="52" t="n">
        <x:f>IF(M18="","",ROUND(M18*'00_Leia_Primeiro'!$B$16/'00_Leia_Primeiro'!$B$14,0))</x:f>
        <x:v>535</x:v>
      </x:c>
      <x:c r="P18" s="36" t="str">
        <x:v>text=Dispositivos</x:v>
      </x:c>
      <x:c r="Q18" s="36" t="str">
        <x:v>Screenshot + logcat do período</x:v>
      </x:c>
      <x:c r="R18" s="52" t="str">
        <x:v>Não iniciado</x:v>
      </x:c>
      <x:c r="S18" s="36" t="str"/>
      <x:c r="T18" s="36" t="str"/>
      <x:c r="U18" s="36" t="str"/>
    </x:row>
    <x:row r="19" ht="78" customHeight="1">
      <x:c r="A19" s="52" t="n">
        <x:v>15</x:v>
      </x:c>
      <x:c r="B19" s="36" t="str">
        <x:v>HOME-015</x:v>
      </x:c>
      <x:c r="C19" s="36" t="str">
        <x:v>Início</x:v>
      </x:c>
      <x:c r="D19" s="36" t="str">
        <x:v>Resumo Wi-Fi abre Sinal</x:v>
      </x:c>
      <x:c r="E19" s="36" t="str">
        <x:v>Navegação</x:v>
      </x:c>
      <x:c r="F19" s="52" t="str">
        <x:v>P0</x:v>
      </x:c>
      <x:c r="G19" s="36" t="str">
        <x:v>Wi-Fi conectado</x:v>
      </x:c>
      <x:c r="H19" s="36" t="str">
        <x:v>1. Tocar no resumo/cartão Wi-Fi ou Redes
2. Observar aba selecionada</x:v>
      </x:c>
      <x:c r="I19" s="36" t="str">
        <x:v>Navega para aba Sinal (índice 2), sem empilhar overlay indevido.</x:v>
      </x:c>
      <x:c r="J19" s="36" t="str">
        <x:v>AppShell onAbrirRedes = selectedTab 2</x:v>
      </x:c>
      <x:c r="K19" s="36" t="str">
        <x:v>Resumo Wi-Fi</x:v>
      </x:c>
      <x:c r="L19" s="52" t="n">
        <x:v>195</x:v>
      </x:c>
      <x:c r="M19" s="52" t="n">
        <x:v>660</x:v>
      </x:c>
      <x:c r="N19" s="52" t="n">
        <x:f>IF(L19="","",ROUND(L19*'00_Leia_Primeiro'!$B$15/'00_Leia_Primeiro'!$B$13,0))</x:f>
        <x:v>195</x:v>
      </x:c>
      <x:c r="O19" s="52" t="n">
        <x:f>IF(M19="","",ROUND(M19*'00_Leia_Primeiro'!$B$16/'00_Leia_Primeiro'!$B$14,0))</x:f>
        <x:v>660</x:v>
      </x:c>
      <x:c r="P19" s="36" t="str">
        <x:v>text~Wi-Fi|Sinal</x:v>
      </x:c>
      <x:c r="Q19" s="36" t="str">
        <x:v>Screenshot + logcat do período</x:v>
      </x:c>
      <x:c r="R19" s="52" t="str">
        <x:v>Não iniciado</x:v>
      </x:c>
      <x:c r="S19" s="36" t="str"/>
      <x:c r="T19" s="36" t="str"/>
      <x:c r="U19" s="36" t="str"/>
    </x:row>
    <x:row r="20" ht="78" customHeight="1">
      <x:c r="A20" s="52" t="n">
        <x:v>16</x:v>
      </x:c>
      <x:c r="B20" s="36" t="str">
        <x:v>HOME-016</x:v>
      </x:c>
      <x:c r="C20" s="36" t="str">
        <x:v>Início</x:v>
      </x:c>
      <x:c r="D20" s="36" t="str">
        <x:v>Link Histórico</x:v>
      </x:c>
      <x:c r="E20" s="36" t="str">
        <x:v>Navegação</x:v>
      </x:c>
      <x:c r="F20" s="52" t="str">
        <x:v>P1</x:v>
      </x:c>
      <x:c r="G20" s="36" t="str">
        <x:v>Medição disponível</x:v>
      </x:c>
      <x:c r="H20" s="36" t="str">
        <x:v>1. Tocar em Ver histórico ou card correspondente</x:v>
      </x:c>
      <x:c r="I20" s="36" t="str">
        <x:v>Seleciona aba Histórico (índice 3).</x:v>
      </x:c>
      <x:c r="J20" s="36" t="str">
        <x:v>AppShell onAbrirHistorico</x:v>
      </x:c>
      <x:c r="K20" s="36" t="str">
        <x:v>Ver histórico</x:v>
      </x:c>
      <x:c r="L20" s="52" t="n">
        <x:v>330</x:v>
      </x:c>
      <x:c r="M20" s="52" t="n">
        <x:v>350</x:v>
      </x:c>
      <x:c r="N20" s="52" t="n">
        <x:f>IF(L20="","",ROUND(L20*'00_Leia_Primeiro'!$B$15/'00_Leia_Primeiro'!$B$13,0))</x:f>
        <x:v>330</x:v>
      </x:c>
      <x:c r="O20" s="52" t="n">
        <x:f>IF(M20="","",ROUND(M20*'00_Leia_Primeiro'!$B$16/'00_Leia_Primeiro'!$B$14,0))</x:f>
        <x:v>350</x:v>
      </x:c>
      <x:c r="P20" s="36" t="str">
        <x:v>text~Histórico</x:v>
      </x:c>
      <x:c r="Q20" s="36" t="str">
        <x:v>Screenshot + logcat do período</x:v>
      </x:c>
      <x:c r="R20" s="52" t="str">
        <x:v>Não iniciado</x:v>
      </x:c>
      <x:c r="S20" s="36" t="str"/>
      <x:c r="T20" s="36" t="str"/>
      <x:c r="U20" s="36" t="str"/>
    </x:row>
    <x:row r="21" ht="78" customHeight="1">
      <x:c r="A21" s="52" t="n">
        <x:v>17</x:v>
      </x:c>
      <x:c r="B21" s="36" t="str">
        <x:v>HOME-017</x:v>
      </x:c>
      <x:c r="C21" s="36" t="str">
        <x:v>Início</x:v>
      </x:c>
      <x:c r="D21" s="36" t="str">
        <x:v>Banner Anatel pós-medição</x:v>
      </x:c>
      <x:c r="E21" s="36" t="str">
        <x:v>Funcional</x:v>
      </x:c>
      <x:c r="F21" s="52" t="str">
        <x:v>P1</x:v>
      </x:c>
      <x:c r="G21" s="36" t="str">
        <x:v>Ao menos uma medição; banner não dispensado</x:v>
      </x:c>
      <x:c r="H21" s="36" t="str">
        <x:v>1. Abrir Home após concluir teste
2. Localizar banner
3. Dispensar
4. Reabrir app</x:v>
      </x:c>
      <x:c r="I21" s="36" t="str">
        <x:v>Banner aparece após o card de medições, não antes de haver medição; dismiss persiste e não volta.</x:v>
      </x:c>
      <x:c r="J21" s="36" t="str">
        <x:v>Commit ecbd3c015651e90eb31dacb5c1bcdee167760525</x:v>
      </x:c>
      <x:c r="K21" s="36" t="str"/>
      <x:c r="L21" s="52"/>
      <x:c r="M21" s="52"/>
      <x:c r="N21" s="52" t="str">
        <x:f>IF(L21="","",ROUND(L21*'00_Leia_Primeiro'!$B$15/'00_Leia_Primeiro'!$B$13,0))</x:f>
      </x:c>
      <x:c r="O21" s="52" t="str">
        <x:f>IF(M21="","",ROUND(M21*'00_Leia_Primeiro'!$B$16/'00_Leia_Primeiro'!$B$14,0))</x:f>
      </x:c>
      <x:c r="P21" s="36" t="str"/>
      <x:c r="Q21" s="36" t="str">
        <x:v>Screenshot + logcat do período</x:v>
      </x:c>
      <x:c r="R21" s="52" t="str">
        <x:v>Não iniciado</x:v>
      </x:c>
      <x:c r="S21" s="36" t="str"/>
      <x:c r="T21" s="36" t="str"/>
      <x:c r="U21" s="36" t="str"/>
    </x:row>
    <x:row r="22" ht="78" customHeight="1">
      <x:c r="A22" s="52" t="n">
        <x:v>18</x:v>
      </x:c>
      <x:c r="B22" s="36" t="str">
        <x:v>HOME-018</x:v>
      </x:c>
      <x:c r="C22" s="36" t="str">
        <x:v>Início</x:v>
      </x:c>
      <x:c r="D22" s="36" t="str">
        <x:v>Estado sem internet</x:v>
      </x:c>
      <x:c r="E22" s="36" t="str">
        <x:v>Funcional</x:v>
      </x:c>
      <x:c r="F22" s="52" t="str">
        <x:v>P0</x:v>
      </x:c>
      <x:c r="G22" s="36" t="str">
        <x:v>Modo avião ou sem conectividade</x:v>
      </x:c>
      <x:c r="H22" s="36" t="str">
        <x:v>1. Abrir Home
2. Interagir com CTAs que dependem de rede</x:v>
      </x:c>
      <x:c r="I22" s="36" t="str">
        <x:v>Estado desconectado claro; sem dados falsos; ações falham com mensagem recuperável; app não trava.</x:v>
      </x:c>
      <x:c r="J22" s="36" t="str">
        <x:v>HomeScreen + SnapshotRede</x:v>
      </x:c>
      <x:c r="K22" s="36" t="str"/>
      <x:c r="L22" s="52"/>
      <x:c r="M22" s="52"/>
      <x:c r="N22" s="52" t="str">
        <x:f>IF(L22="","",ROUND(L22*'00_Leia_Primeiro'!$B$15/'00_Leia_Primeiro'!$B$13,0))</x:f>
      </x:c>
      <x:c r="O22" s="52" t="str">
        <x:f>IF(M22="","",ROUND(M22*'00_Leia_Primeiro'!$B$16/'00_Leia_Primeiro'!$B$14,0))</x:f>
      </x:c>
      <x:c r="P22" s="36" t="str"/>
      <x:c r="Q22" s="36" t="str">
        <x:v>Screenshot + logcat do período</x:v>
      </x:c>
      <x:c r="R22" s="52" t="str">
        <x:v>Não iniciado</x:v>
      </x:c>
      <x:c r="S22" s="36" t="str"/>
      <x:c r="T22" s="36" t="str"/>
      <x:c r="U22" s="36" t="str"/>
    </x:row>
    <x:row r="23" ht="78" customHeight="1">
      <x:c r="A23" s="52" t="n">
        <x:v>19</x:v>
      </x:c>
      <x:c r="B23" s="36" t="str">
        <x:v>HOME-019</x:v>
      </x:c>
      <x:c r="C23" s="36" t="str">
        <x:v>Início</x:v>
      </x:c>
      <x:c r="D23" s="36" t="str">
        <x:v>Estado rede móvel/dual-SIM</x:v>
      </x:c>
      <x:c r="E23" s="36" t="str">
        <x:v>Funcional</x:v>
      </x:c>
      <x:c r="F23" s="52" t="str">
        <x:v>P1</x:v>
      </x:c>
      <x:c r="G23" s="36" t="str">
        <x:v>Emulador com rede móvel simulada ou massa de teste</x:v>
      </x:c>
      <x:c r="H23" s="36" t="str">
        <x:v>1. Abrir Home
2. Validar caminho, operadora e cartões móveis</x:v>
      </x:c>
      <x:c r="I23" s="36" t="str">
        <x:v>Conteúdo não fala em roteador/Wi-Fi indevidamente; dual-SIM não duplica card principal; SIMs são distinguíveis.</x:v>
      </x:c>
      <x:c r="J23" s="36" t="str">
        <x:v>Commit e8b467... — dual-SIM e copy contextual</x:v>
      </x:c>
      <x:c r="K23" s="36" t="str"/>
      <x:c r="L23" s="52"/>
      <x:c r="M23" s="52"/>
      <x:c r="N23" s="52" t="str">
        <x:f>IF(L23="","",ROUND(L23*'00_Leia_Primeiro'!$B$15/'00_Leia_Primeiro'!$B$13,0))</x:f>
      </x:c>
      <x:c r="O23" s="52" t="str">
        <x:f>IF(M23="","",ROUND(M23*'00_Leia_Primeiro'!$B$16/'00_Leia_Primeiro'!$B$14,0))</x:f>
      </x:c>
      <x:c r="P23" s="36" t="str"/>
      <x:c r="Q23" s="36" t="str">
        <x:v>Screenshot + logcat do período</x:v>
      </x:c>
      <x:c r="R23" s="52" t="str">
        <x:v>Não iniciado</x:v>
      </x:c>
      <x:c r="S23" s="36" t="str"/>
      <x:c r="T23" s="36" t="str"/>
      <x:c r="U23" s="36" t="str"/>
    </x:row>
    <x:row r="24" ht="78" customHeight="1">
      <x:c r="A24" s="52" t="n">
        <x:v>20</x:v>
      </x:c>
      <x:c r="B24" s="36" t="str">
        <x:v>HOME-020</x:v>
      </x:c>
      <x:c r="C24" s="36" t="str">
        <x:v>Início</x:v>
      </x:c>
      <x:c r="D24" s="36" t="str">
        <x:v>Consistência de topologia entre telas</x:v>
      </x:c>
      <x:c r="E24" s="36" t="str">
        <x:v>Funcional</x:v>
      </x:c>
      <x:c r="F24" s="52" t="str">
        <x:v>P0</x:v>
      </x:c>
      <x:c r="G24" s="36" t="str">
        <x:v>Mesma rede e scan estabilizado</x:v>
      </x:c>
      <x:c r="H24" s="36" t="str">
        <x:v>1. Registrar papel do gateway na Home
2. Abrir Sinal &gt; Redes
3. Abrir Dispositivos e detalhe correlacionado
4. Comparar vereditos</x:v>
      </x:c>
      <x:c r="I24" s="36" t="str">
        <x:v>Home, Sinal e Dispositivos não apresentam três classificações conflitantes; incerteza é explicitada.</x:v>
      </x:c>
      <x:c r="J24" s="36" t="str">
        <x:v>TopologiaRedeEngine — commits 0ab2ffd, f8553f, 96e650</x:v>
      </x:c>
      <x:c r="K24" s="36" t="str"/>
      <x:c r="L24" s="52"/>
      <x:c r="M24" s="52"/>
      <x:c r="N24" s="52" t="str">
        <x:f>IF(L24="","",ROUND(L24*'00_Leia_Primeiro'!$B$15/'00_Leia_Primeiro'!$B$13,0))</x:f>
      </x:c>
      <x:c r="O24" s="52" t="str">
        <x:f>IF(M24="","",ROUND(M24*'00_Leia_Primeiro'!$B$16/'00_Leia_Primeiro'!$B$14,0))</x:f>
      </x:c>
      <x:c r="P24" s="36" t="str"/>
      <x:c r="Q24" s="36" t="str">
        <x:v>Screenshot + logcat do período</x:v>
      </x:c>
      <x:c r="R24" s="52" t="str">
        <x:v>Não iniciado</x:v>
      </x:c>
      <x:c r="S24" s="36" t="str"/>
      <x:c r="T24" s="36" t="str"/>
      <x:c r="U24" s="36" t="str"/>
    </x:row>
    <x:row r="25" ht="78" customHeight="1">
      <x:c r="A25" s="52" t="n">
        <x:v>21</x:v>
      </x:c>
      <x:c r="B25" s="36" t="str">
        <x:v>HOME-021</x:v>
      </x:c>
      <x:c r="C25" s="36" t="str">
        <x:v>Início</x:v>
      </x:c>
      <x:c r="D25" s="36" t="str">
        <x:v>Scroll e barra inferior</x:v>
      </x:c>
      <x:c r="E25" s="36" t="str">
        <x:v>Design</x:v>
      </x:c>
      <x:c r="F25" s="52" t="str">
        <x:v>P1</x:v>
      </x:c>
      <x:c r="G25" s="36" t="str">
        <x:v>Conteúdo suficiente para scroll</x:v>
      </x:c>
      <x:c r="H25" s="36" t="str">
        <x:v>1. Rolar até o final
2. Tentar tocar no último elemento
3. Voltar ao topo</x:v>
      </x:c>
      <x:c r="I25" s="36" t="str">
        <x:v>Último item fica acima da bottom nav; scroll é fluido; nenhum elemento fica oculto.</x:v>
      </x:c>
      <x:c r="J25" s="36" t="str">
        <x:v>HomeScreen LazyColumn + Scaffold padding</x:v>
      </x:c>
      <x:c r="K25" s="36" t="str"/>
      <x:c r="L25" s="52"/>
      <x:c r="M25" s="52"/>
      <x:c r="N25" s="52" t="str">
        <x:f>IF(L25="","",ROUND(L25*'00_Leia_Primeiro'!$B$15/'00_Leia_Primeiro'!$B$13,0))</x:f>
      </x:c>
      <x:c r="O25" s="52" t="str">
        <x:f>IF(M25="","",ROUND(M25*'00_Leia_Primeiro'!$B$16/'00_Leia_Primeiro'!$B$14,0))</x:f>
      </x:c>
      <x:c r="P25" s="36" t="str"/>
      <x:c r="Q25" s="36" t="str">
        <x:v>Screenshot + logcat do período</x:v>
      </x:c>
      <x:c r="R25" s="52" t="str">
        <x:v>Não iniciado</x:v>
      </x:c>
      <x:c r="S25" s="36" t="str"/>
      <x:c r="T25" s="36" t="str"/>
      <x:c r="U25" s="36" t="str"/>
    </x:row>
  </x:sheetData>
  <x:mergeCells>
    <x:mergeCell ref="A1:U1"/>
    <x:mergeCell ref="A2:U2"/>
  </x:mergeCells>
  <x:conditionalFormatting sqref="R5:R25">
    <x:cfRule type="expression" dxfId="7" priority="1">
      <x:formula>R5="Passou"</x:formula>
    </x:cfRule>
    <x:cfRule type="expression" dxfId="8" priority="2">
      <x:formula>R5="Falhou"</x:formula>
    </x:cfRule>
    <x:cfRule type="expression" dxfId="9" priority="3">
      <x:formula>R5="Bloqueado"</x:formula>
    </x:cfRule>
    <x:cfRule type="expression" dxfId="10" priority="4">
      <x:formula>R5="Em execução"</x:formula>
    </x:cfRule>
    <x:cfRule type="expression" dxfId="11" priority="5">
      <x:formula>R5="N/A"</x:formula>
    </x:cfRule>
  </x:conditionalFormatting>
  <x:conditionalFormatting sqref="F5:F25">
    <x:cfRule type="expression" dxfId="12" priority="6">
      <x:formula>F5="P0"</x:formula>
    </x:cfRule>
    <x:cfRule type="expression" dxfId="13" priority="7">
      <x:formula>F5="P1"</x:formula>
    </x:cfRule>
  </x:conditionalFormatting>
  <x:dataValidations count="2">
    <x:dataValidation type="list" sqref="F5:F25">
      <x:formula1>"P0,P1,P2,P3"</x:formula1>
    </x:dataValidation>
    <x:dataValidation type="list" sqref="R5:R25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3154daf54e4d4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7" hidden="0" customWidth="1"/>
    <x:col min="5" max="5" width="16" hidden="0" customWidth="1"/>
    <x:col min="6" max="6" width="10" hidden="0" customWidth="1"/>
    <x:col min="7" max="7" width="34" hidden="0" customWidth="1"/>
    <x:col min="8" max="8" width="48" hidden="0" customWidth="1"/>
    <x:col min="9" max="9" width="48" hidden="0" customWidth="1"/>
    <x:col min="10" max="10" width="42" hidden="0" customWidth="1"/>
    <x:col min="11" max="11" width="24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32" hidden="0" customWidth="1"/>
    <x:col min="17" max="17" width="28" hidden="0" customWidth="1"/>
    <x:col min="18" max="18" width="16" hidden="0" customWidth="1"/>
    <x:col min="19" max="19" width="20" hidden="0" customWidth="1"/>
    <x:col min="20" max="20" width="34" hidden="0" customWidth="1"/>
    <x:col min="21" max="21" width="27" hidden="0" customWidth="1"/>
  </x:cols>
  <x:sheetData>
    <x:row r="1" ht="32" customHeight="1">
      <x:c r="A1" s="5" t="str">
        <x:v>Velocidade, execução e resultado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3" t="str">
        <x:v>Execute em ordem. Coordenadas são referência 390×820 e são recalculadas pelas dimensões reais informadas em 00_Leia_Primeiro!B15:B16. Use seletor semântico antes de tap por coordenada.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</x:row>
    <x:row r="4" ht="44" customHeight="1">
      <x:c r="A4" s="28" t="str">
        <x:v>Ordem</x:v>
      </x:c>
      <x:c r="B4" s="28" t="str">
        <x:v>ID</x:v>
      </x:c>
      <x:c r="C4" s="28" t="str">
        <x:v>Tela / componente</x:v>
      </x:c>
      <x:c r="D4" s="28" t="str">
        <x:v>Estado / cenário</x:v>
      </x:c>
      <x:c r="E4" s="28" t="str">
        <x:v>Categoria</x:v>
      </x:c>
      <x:c r="F4" s="28" t="str">
        <x:v>Prioridade</x:v>
      </x:c>
      <x:c r="G4" s="28" t="str">
        <x:v>Pré-condições</x:v>
      </x:c>
      <x:c r="H4" s="28" t="str">
        <x:v>Passo a passo</x:v>
      </x:c>
      <x:c r="I4" s="28" t="str">
        <x:v>Resultado esperado</x:v>
      </x:c>
      <x:c r="J4" s="28" t="str">
        <x:v>Referência design / código</x:v>
      </x:c>
      <x:c r="K4" s="28" t="str">
        <x:v>Ação / alvo</x:v>
      </x:c>
      <x:c r="L4" s="28" t="str">
        <x:v>X base 390</x:v>
      </x:c>
      <x:c r="M4" s="28" t="str">
        <x:v>Y base 820</x:v>
      </x:c>
      <x:c r="N4" s="28" t="str">
        <x:v>X device</x:v>
      </x:c>
      <x:c r="O4" s="28" t="str">
        <x:v>Y device</x:v>
      </x:c>
      <x:c r="P4" s="28" t="str">
        <x:v>Seletor preferencial</x:v>
      </x:c>
      <x:c r="Q4" s="28" t="str">
        <x:v>Evidência esperada</x:v>
      </x:c>
      <x:c r="R4" s="28" t="str">
        <x:v>Status</x:v>
      </x:c>
      <x:c r="S4" s="28" t="str">
        <x:v>Bug GitHub</x:v>
      </x:c>
      <x:c r="T4" s="28" t="str">
        <x:v>Observações</x:v>
      </x:c>
      <x:c r="U4" s="28" t="str">
        <x:v>Bloqueador / dependência</x:v>
      </x:c>
    </x:row>
    <x:row r="5" ht="78" customHeight="1">
      <x:c r="A5" s="52" t="n">
        <x:v>1</x:v>
      </x:c>
      <x:c r="B5" s="36" t="str">
        <x:v>SPD-001</x:v>
      </x:c>
      <x:c r="C5" s="36" t="str">
        <x:v>Velocidade</x:v>
      </x:c>
      <x:c r="D5" s="36" t="str">
        <x:v>Tela idle To-Be</x:v>
      </x:c>
      <x:c r="E5" s="36" t="str">
        <x:v>Design</x:v>
      </x:c>
      <x:c r="F5" s="52" t="str">
        <x:v>P0</x:v>
      </x:c>
      <x:c r="G5" s="36" t="str">
        <x:v>Nenhum teste em execução</x:v>
      </x:c>
      <x:c r="H5" s="36" t="str">
        <x:v>1. Abrir aba Velocidade
2. Capturar tela completa
3. Comparar CTA, modo, último resultado e hierarquia</x:v>
      </x:c>
      <x:c r="I5" s="36" t="str">
        <x:v>Layout MD3 limpo; CTA principal evidente; informações essenciais sem excesso; bottom nav visível.</x:v>
      </x:c>
      <x:c r="J5" s="36" t="str">
        <x:v>C:\Users\luizg\Documents\7Agents\Claude Design\SignallQ Design System — SpeedFlow idle; SpeedTestScreen.kt</x:v>
      </x:c>
      <x:c r="K5" s="36" t="str">
        <x:v>Aba Velocidade</x:v>
      </x:c>
      <x:c r="L5" s="52" t="n">
        <x:v>117</x:v>
      </x:c>
      <x:c r="M5" s="52" t="n">
        <x:v>785</x:v>
      </x:c>
      <x:c r="N5" s="52" t="n">
        <x:f>IF(L5="","",ROUND(L5*'00_Leia_Primeiro'!$B$15/'00_Leia_Primeiro'!$B$13,0))</x:f>
        <x:v>117</x:v>
      </x:c>
      <x:c r="O5" s="52" t="n">
        <x:f>IF(M5="","",ROUND(M5*'00_Leia_Primeiro'!$B$16/'00_Leia_Primeiro'!$B$14,0))</x:f>
        <x:v>785</x:v>
      </x:c>
      <x:c r="P5" s="36" t="str">
        <x:v>text=Velocidade</x:v>
      </x:c>
      <x:c r="Q5" s="36" t="str">
        <x:v>Screenshot + logcat do período</x:v>
      </x:c>
      <x:c r="R5" s="52" t="str">
        <x:v>Não iniciado</x:v>
      </x:c>
      <x:c r="S5" s="36" t="str"/>
      <x:c r="T5" s="36" t="str"/>
      <x:c r="U5" s="36" t="str"/>
    </x:row>
    <x:row r="6" ht="78" customHeight="1">
      <x:c r="A6" s="52" t="n">
        <x:v>2</x:v>
      </x:c>
      <x:c r="B6" s="36" t="str">
        <x:v>SPD-002</x:v>
      </x:c>
      <x:c r="C6" s="36" t="str">
        <x:v>Velocidade</x:v>
      </x:c>
      <x:c r="D6" s="36" t="str">
        <x:v>Seleção de tipo de medição</x:v>
      </x:c>
      <x:c r="E6" s="36" t="str">
        <x:v>Funcional</x:v>
      </x:c>
      <x:c r="F6" s="52" t="str">
        <x:v>P1</x:v>
      </x:c>
      <x:c r="G6" s="36" t="str">
        <x:v>Tela idle</x:v>
      </x:c>
      <x:c r="H6" s="36" t="str">
        <x:v>1. Abrir seletor de medição
2. Selecionar cada opção disponível
3. Fechar/reabrir</x:v>
      </x:c>
      <x:c r="I6" s="36" t="str">
        <x:v>Opções e descrições correspondem ao código; seleção altera o modo usado no próximo teste sem iniciar sozinha.</x:v>
      </x:c>
      <x:c r="J6" s="36" t="str">
        <x:v>C:\Users\luizg\Documents\7Agents\Claude Design\SignallQ Design System — MedicaoTipoSheet; ModoSpeedtest</x:v>
      </x:c>
      <x:c r="K6" s="36" t="str">
        <x:v>Tipo de medição</x:v>
      </x:c>
      <x:c r="L6" s="52" t="n">
        <x:v>195</x:v>
      </x:c>
      <x:c r="M6" s="52" t="n">
        <x:v>660</x:v>
      </x:c>
      <x:c r="N6" s="52" t="n">
        <x:f>IF(L6="","",ROUND(L6*'00_Leia_Primeiro'!$B$15/'00_Leia_Primeiro'!$B$13,0))</x:f>
        <x:v>195</x:v>
      </x:c>
      <x:c r="O6" s="52" t="n">
        <x:f>IF(M6="","",ROUND(M6*'00_Leia_Primeiro'!$B$16/'00_Leia_Primeiro'!$B$14,0))</x:f>
        <x:v>660</x:v>
      </x:c>
      <x:c r="P6" s="36" t="str">
        <x:v>text~Completo|Rápido|medição</x:v>
      </x:c>
      <x:c r="Q6" s="36" t="str">
        <x:v>Screenshot + logcat do período</x:v>
      </x:c>
      <x:c r="R6" s="52" t="str">
        <x:v>Não iniciado</x:v>
      </x:c>
      <x:c r="S6" s="36" t="str"/>
      <x:c r="T6" s="36" t="str"/>
      <x:c r="U6" s="36" t="str"/>
    </x:row>
    <x:row r="7" ht="78" customHeight="1">
      <x:c r="A7" s="52" t="n">
        <x:v>3</x:v>
      </x:c>
      <x:c r="B7" s="36" t="str">
        <x:v>SPD-003</x:v>
      </x:c>
      <x:c r="C7" s="36" t="str">
        <x:v>Velocidade</x:v>
      </x:c>
      <x:c r="D7" s="36" t="str">
        <x:v>Iniciar teste completo</x:v>
      </x:c>
      <x:c r="E7" s="36" t="str">
        <x:v>Funcional</x:v>
      </x:c>
      <x:c r="F7" s="52" t="str">
        <x:v>P0</x:v>
      </x:c>
      <x:c r="G7" s="36" t="str">
        <x:v>Internet disponível e nenhum teste ativo</x:v>
      </x:c>
      <x:c r="H7" s="36" t="str">
        <x:v>1. Tocar em iniciar
2. Marcar timestamp
3. Observar transição idle→executando</x:v>
      </x:c>
      <x:c r="I7" s="36" t="str">
        <x:v>Uma única execução inicia; progresso aparece imediatamente; evento speedtest_iniciado é logado.</x:v>
      </x:c>
      <x:c r="J7" s="36" t="str">
        <x:v>SpeedtestViewModel + commit 946d0513</x:v>
      </x:c>
      <x:c r="K7" s="36" t="str">
        <x:v>Iniciar teste</x:v>
      </x:c>
      <x:c r="L7" s="52" t="n">
        <x:v>195</x:v>
      </x:c>
      <x:c r="M7" s="52" t="n">
        <x:v>430</x:v>
      </x:c>
      <x:c r="N7" s="52" t="n">
        <x:f>IF(L7="","",ROUND(L7*'00_Leia_Primeiro'!$B$15/'00_Leia_Primeiro'!$B$13,0))</x:f>
        <x:v>195</x:v>
      </x:c>
      <x:c r="O7" s="52" t="n">
        <x:f>IF(M7="","",ROUND(M7*'00_Leia_Primeiro'!$B$16/'00_Leia_Primeiro'!$B$14,0))</x:f>
        <x:v>430</x:v>
      </x:c>
      <x:c r="P7" s="36" t="str">
        <x:v>text~Iniciar|Medir</x:v>
      </x:c>
      <x:c r="Q7" s="36" t="str">
        <x:v>Screenshot + logcat do período</x:v>
      </x:c>
      <x:c r="R7" s="52" t="str">
        <x:v>Não iniciado</x:v>
      </x:c>
      <x:c r="S7" s="36" t="str"/>
      <x:c r="T7" s="36" t="str"/>
      <x:c r="U7" s="36" t="str"/>
    </x:row>
    <x:row r="8" ht="78" customHeight="1">
      <x:c r="A8" s="52" t="n">
        <x:v>4</x:v>
      </x:c>
      <x:c r="B8" s="36" t="str">
        <x:v>SPD-004</x:v>
      </x:c>
      <x:c r="C8" s="36" t="str">
        <x:v>Velocidade</x:v>
      </x:c>
      <x:c r="D8" s="36" t="str">
        <x:v>Fases e cores da execução</x:v>
      </x:c>
      <x:c r="E8" s="36" t="str">
        <x:v>Design</x:v>
      </x:c>
      <x:c r="F8" s="52" t="str">
        <x:v>P0</x:v>
      </x:c>
      <x:c r="G8" s="36" t="str">
        <x:v>Teste executando</x:v>
      </x:c>
      <x:c r="H8" s="36" t="str">
        <x:v>1. Observar Latência, Download e Upload
2. Capturar ao menos uma imagem por fase</x:v>
      </x:c>
      <x:c r="I8" s="36" t="str">
        <x:v>Fases têm rótulo/progresso claros; latência azul, download verde e upload âmbar conforme tokens; não há número congelado ou sobreposição.</x:v>
      </x:c>
      <x:c r="J8" s="36" t="str">
        <x:v>C:\Users\luizg\Documents\7Agents\Claude Design\SignallQ Design System — phaseLatencia/Download/Upload</x:v>
      </x:c>
      <x:c r="K8" s="36" t="str"/>
      <x:c r="L8" s="52"/>
      <x:c r="M8" s="52"/>
      <x:c r="N8" s="52" t="str">
        <x:f>IF(L8="","",ROUND(L8*'00_Leia_Primeiro'!$B$15/'00_Leia_Primeiro'!$B$13,0))</x:f>
      </x:c>
      <x:c r="O8" s="52" t="str">
        <x:f>IF(M8="","",ROUND(M8*'00_Leia_Primeiro'!$B$16/'00_Leia_Primeiro'!$B$14,0))</x:f>
      </x:c>
      <x:c r="P8" s="36" t="str"/>
      <x:c r="Q8" s="36" t="str">
        <x:v>Screenshot + logcat do período</x:v>
      </x:c>
      <x:c r="R8" s="52" t="str">
        <x:v>Não iniciado</x:v>
      </x:c>
      <x:c r="S8" s="36" t="str"/>
      <x:c r="T8" s="36" t="str"/>
      <x:c r="U8" s="36" t="str"/>
    </x:row>
    <x:row r="9" ht="78" customHeight="1">
      <x:c r="A9" s="52" t="n">
        <x:v>5</x:v>
      </x:c>
      <x:c r="B9" s="36" t="str">
        <x:v>SPD-005</x:v>
      </x:c>
      <x:c r="C9" s="36" t="str">
        <x:v>Velocidade</x:v>
      </x:c>
      <x:c r="D9" s="36" t="str">
        <x:v>Bottom nav oculta durante execução</x:v>
      </x:c>
      <x:c r="E9" s="36" t="str">
        <x:v>Navegação</x:v>
      </x:c>
      <x:c r="F9" s="52" t="str">
        <x:v>P1</x:v>
      </x:c>
      <x:c r="G9" s="36" t="str">
        <x:v>Teste executando</x:v>
      </x:c>
      <x:c r="H9" s="36" t="str">
        <x:v>1. Observar área inferior
2. Tentar navegar para outra aba</x:v>
      </x:c>
      <x:c r="I9" s="36" t="str">
        <x:v>Bottom nav não aparece durante execução; usuário não dispara troca de aba acidental.</x:v>
      </x:c>
      <x:c r="J9" s="36" t="str">
        <x:v>AppShell.kt — bottomBar condicionado a estado != executando</x:v>
      </x:c>
      <x:c r="K9" s="36" t="str"/>
      <x:c r="L9" s="52"/>
      <x:c r="M9" s="52"/>
      <x:c r="N9" s="52" t="str">
        <x:f>IF(L9="","",ROUND(L9*'00_Leia_Primeiro'!$B$15/'00_Leia_Primeiro'!$B$13,0))</x:f>
      </x:c>
      <x:c r="O9" s="52" t="str">
        <x:f>IF(M9="","",ROUND(M9*'00_Leia_Primeiro'!$B$16/'00_Leia_Primeiro'!$B$14,0))</x:f>
      </x:c>
      <x:c r="P9" s="36" t="str"/>
      <x:c r="Q9" s="36" t="str">
        <x:v>Screenshot + logcat do período</x:v>
      </x:c>
      <x:c r="R9" s="52" t="str">
        <x:v>Não iniciado</x:v>
      </x:c>
      <x:c r="S9" s="36" t="str"/>
      <x:c r="T9" s="36" t="str"/>
      <x:c r="U9" s="36" t="str"/>
    </x:row>
    <x:row r="10" ht="78" customHeight="1">
      <x:c r="A10" s="52" t="n">
        <x:v>6</x:v>
      </x:c>
      <x:c r="B10" s="36" t="str">
        <x:v>SPD-006</x:v>
      </x:c>
      <x:c r="C10" s="36" t="str">
        <x:v>Velocidade</x:v>
      </x:c>
      <x:c r="D10" s="36" t="str">
        <x:v>Cancelar teste</x:v>
      </x:c>
      <x:c r="E10" s="36" t="str">
        <x:v>Funcional</x:v>
      </x:c>
      <x:c r="F10" s="52" t="str">
        <x:v>P0</x:v>
      </x:c>
      <x:c r="G10" s="36" t="str">
        <x:v>Teste executando</x:v>
      </x:c>
      <x:c r="H10" s="36" t="str">
        <x:v>1. Tocar Cancelar
2. Confirmar se solicitado
3. Aguardar retorno</x:v>
      </x:c>
      <x:c r="I10" s="36" t="str">
        <x:v>Execução é cancelada, recursos encerrados, UI volta a estado estável e não salva resultado como concluído.</x:v>
      </x:c>
      <x:c r="J10" s="36" t="str">
        <x:v>SpeedTestScreen/VelocidadeScreen onCancelarTeste</x:v>
      </x:c>
      <x:c r="K10" s="36" t="str">
        <x:v>Cancelar</x:v>
      </x:c>
      <x:c r="L10" s="52" t="n">
        <x:v>195</x:v>
      </x:c>
      <x:c r="M10" s="52" t="n">
        <x:v>690</x:v>
      </x:c>
      <x:c r="N10" s="52" t="n">
        <x:f>IF(L10="","",ROUND(L10*'00_Leia_Primeiro'!$B$15/'00_Leia_Primeiro'!$B$13,0))</x:f>
        <x:v>195</x:v>
      </x:c>
      <x:c r="O10" s="52" t="n">
        <x:f>IF(M10="","",ROUND(M10*'00_Leia_Primeiro'!$B$16/'00_Leia_Primeiro'!$B$14,0))</x:f>
        <x:v>690</x:v>
      </x:c>
      <x:c r="P10" s="36" t="str">
        <x:v>text=Cancelar</x:v>
      </x:c>
      <x:c r="Q10" s="36" t="str">
        <x:v>Screenshot + logcat do período</x:v>
      </x:c>
      <x:c r="R10" s="52" t="str">
        <x:v>Não iniciado</x:v>
      </x:c>
      <x:c r="S10" s="36" t="str"/>
      <x:c r="T10" s="36" t="str"/>
      <x:c r="U10" s="36" t="str"/>
    </x:row>
    <x:row r="11" ht="78" customHeight="1">
      <x:c r="A11" s="52" t="n">
        <x:v>7</x:v>
      </x:c>
      <x:c r="B11" s="36" t="str">
        <x:v>SPD-007</x:v>
      </x:c>
      <x:c r="C11" s="36" t="str">
        <x:v>Velocidade</x:v>
      </x:c>
      <x:c r="D11" s="36" t="str">
        <x:v>Conclusão abre Resultado</x:v>
      </x:c>
      <x:c r="E11" s="36" t="str">
        <x:v>Navegação</x:v>
      </x:c>
      <x:c r="F11" s="52" t="str">
        <x:v>P0</x:v>
      </x:c>
      <x:c r="G11" s="36" t="str">
        <x:v>Teste iniciado com rede estável</x:v>
      </x:c>
      <x:c r="H11" s="36" t="str">
        <x:v>1. Aguardar conclusão
2. Observar animação de concluído e destino</x:v>
      </x:c>
      <x:c r="I11" s="36" t="str">
        <x:v>Após conclusão real, inicia diagnóstico e abre ResultadoVelocidadeScreen uma vez; evento de conclusão é registrado.</x:v>
      </x:c>
      <x:c r="J11" s="36" t="str">
        <x:v>AppShell.kt — estado concluído + Overlay.ResultadoVelocidade</x:v>
      </x:c>
      <x:c r="K11" s="36" t="str"/>
      <x:c r="L11" s="52"/>
      <x:c r="M11" s="52"/>
      <x:c r="N11" s="52" t="str">
        <x:f>IF(L11="","",ROUND(L11*'00_Leia_Primeiro'!$B$15/'00_Leia_Primeiro'!$B$13,0))</x:f>
      </x:c>
      <x:c r="O11" s="52" t="str">
        <x:f>IF(M11="","",ROUND(M11*'00_Leia_Primeiro'!$B$16/'00_Leia_Primeiro'!$B$14,0))</x:f>
      </x:c>
      <x:c r="P11" s="36" t="str"/>
      <x:c r="Q11" s="36" t="str">
        <x:v>Screenshot + logcat do período</x:v>
      </x:c>
      <x:c r="R11" s="52" t="str">
        <x:v>Não iniciado</x:v>
      </x:c>
      <x:c r="S11" s="36" t="str"/>
      <x:c r="T11" s="36" t="str"/>
      <x:c r="U11" s="36" t="str"/>
    </x:row>
    <x:row r="12" ht="78" customHeight="1">
      <x:c r="A12" s="52" t="n">
        <x:v>8</x:v>
      </x:c>
      <x:c r="B12" s="36" t="str">
        <x:v>SPD-008</x:v>
      </x:c>
      <x:c r="C12" s="36" t="str">
        <x:v>Resultado de velocidade</x:v>
      </x:c>
      <x:c r="D12" s="36" t="str">
        <x:v>Métricas e vereditos</x:v>
      </x:c>
      <x:c r="E12" s="36" t="str">
        <x:v>Funcional</x:v>
      </x:c>
      <x:c r="F12" s="52" t="str">
        <x:v>P0</x:v>
      </x:c>
      <x:c r="G12" s="36" t="str">
        <x:v>Teste concluído</x:v>
      </x:c>
      <x:c r="H12" s="36" t="str">
        <x:v>1. Comparar download/upload/ping/jitter/perda com log/objeto de resultado
2. Verificar unidades e avaliações</x:v>
      </x:c>
      <x:c r="I12" s="36" t="str">
        <x:v>Todos os valores são os medidos, com unidades corretas e vereditos consistentes; sem duplicação ou dado 0 falso.</x:v>
      </x:c>
      <x:c r="J12" s="36" t="str">
        <x:v>C:\Users\luizg\Documents\7Agents\Claude Design\SignallQ Design System — SpeedFlow result; ResultadoVelocidadeScreen.kt</x:v>
      </x:c>
      <x:c r="K12" s="36" t="str"/>
      <x:c r="L12" s="52"/>
      <x:c r="M12" s="52"/>
      <x:c r="N12" s="52" t="str">
        <x:f>IF(L12="","",ROUND(L12*'00_Leia_Primeiro'!$B$15/'00_Leia_Primeiro'!$B$13,0))</x:f>
      </x:c>
      <x:c r="O12" s="52" t="str">
        <x:f>IF(M12="","",ROUND(M12*'00_Leia_Primeiro'!$B$16/'00_Leia_Primeiro'!$B$14,0))</x:f>
      </x:c>
      <x:c r="P12" s="36" t="str"/>
      <x:c r="Q12" s="36" t="str">
        <x:v>Screenshot + logcat do período</x:v>
      </x:c>
      <x:c r="R12" s="52" t="str">
        <x:v>Não iniciado</x:v>
      </x:c>
      <x:c r="S12" s="36" t="str"/>
      <x:c r="T12" s="36" t="str"/>
      <x:c r="U12" s="36" t="str"/>
    </x:row>
    <x:row r="13" ht="78" customHeight="1">
      <x:c r="A13" s="52" t="n">
        <x:v>9</x:v>
      </x:c>
      <x:c r="B13" s="36" t="str">
        <x:v>SPD-009</x:v>
      </x:c>
      <x:c r="C13" s="36" t="str">
        <x:v>Resultado de velocidade</x:v>
      </x:c>
      <x:c r="D13" s="36" t="str">
        <x:v>Hierarquia visual e estados</x:v>
      </x:c>
      <x:c r="E13" s="36" t="str">
        <x:v>Design</x:v>
      </x:c>
      <x:c r="F13" s="52" t="str">
        <x:v>P0</x:v>
      </x:c>
      <x:c r="G13" s="36" t="str">
        <x:v>Resultado aberto</x:v>
      </x:c>
      <x:c r="H13" s="36" t="str">
        <x:v>1. Capturar topo, meio e fim do scroll
2. Comparar light/dark</x:v>
      </x:c>
      <x:c r="I13" s="36" t="str">
        <x:v>Resumo principal domina; métricas secundárias agrupadas; status usam tokens semânticos; CTAs fixos/roláveis não competem.</x:v>
      </x:c>
      <x:c r="J13" s="36" t="str">
        <x:v>C:\Users\luizg\Documents\7Agents\Claude Design\SignallQ Design System — SpeedFlow result + theme.js</x:v>
      </x:c>
      <x:c r="K13" s="36" t="str"/>
      <x:c r="L13" s="52"/>
      <x:c r="M13" s="52"/>
      <x:c r="N13" s="52" t="str">
        <x:f>IF(L13="","",ROUND(L13*'00_Leia_Primeiro'!$B$15/'00_Leia_Primeiro'!$B$13,0))</x:f>
      </x:c>
      <x:c r="O13" s="52" t="str">
        <x:f>IF(M13="","",ROUND(M13*'00_Leia_Primeiro'!$B$16/'00_Leia_Primeiro'!$B$14,0))</x:f>
      </x:c>
      <x:c r="P13" s="36" t="str"/>
      <x:c r="Q13" s="36" t="str">
        <x:v>Screenshot + logcat do período</x:v>
      </x:c>
      <x:c r="R13" s="52" t="str">
        <x:v>Não iniciado</x:v>
      </x:c>
      <x:c r="S13" s="36" t="str"/>
      <x:c r="T13" s="36" t="str"/>
      <x:c r="U13" s="36" t="str"/>
    </x:row>
    <x:row r="14" ht="78" customHeight="1">
      <x:c r="A14" s="52" t="n">
        <x:v>10</x:v>
      </x:c>
      <x:c r="B14" s="36" t="str">
        <x:v>SPD-010</x:v>
      </x:c>
      <x:c r="C14" s="36" t="str">
        <x:v>Resultado de velocidade</x:v>
      </x:c>
      <x:c r="D14" s="36" t="str">
        <x:v>Ver recomendações abre Laudo</x:v>
      </x:c>
      <x:c r="E14" s="36" t="str">
        <x:v>Navegação</x:v>
      </x:c>
      <x:c r="F14" s="52" t="str">
        <x:v>P0</x:v>
      </x:c>
      <x:c r="G14" s="36" t="str">
        <x:v>Resultado aberto</x:v>
      </x:c>
      <x:c r="H14" s="36" t="str">
        <x:v>1. Tocar em Ver recomendações para melhorar
2. Validar destino
3. Voltar</x:v>
      </x:c>
      <x:c r="I14" s="36" t="str">
        <x:v>Abre LaudoScreen, sem chat; back retorna ao resultado.</x:v>
      </x:c>
      <x:c r="J14" s="36" t="str">
        <x:v>Commit 0683f70 — CTA orgânico; AppShell Overlay.Laudo</x:v>
      </x:c>
      <x:c r="K14" s="36" t="str">
        <x:v>Ver recomendações</x:v>
      </x:c>
      <x:c r="L14" s="52" t="n">
        <x:v>195</x:v>
      </x:c>
      <x:c r="M14" s="52" t="n">
        <x:v>670</x:v>
      </x:c>
      <x:c r="N14" s="52" t="n">
        <x:f>IF(L14="","",ROUND(L14*'00_Leia_Primeiro'!$B$15/'00_Leia_Primeiro'!$B$13,0))</x:f>
        <x:v>195</x:v>
      </x:c>
      <x:c r="O14" s="52" t="n">
        <x:f>IF(M14="","",ROUND(M14*'00_Leia_Primeiro'!$B$16/'00_Leia_Primeiro'!$B$14,0))</x:f>
        <x:v>670</x:v>
      </x:c>
      <x:c r="P14" s="36" t="str">
        <x:v>text~recomendações|melhorar</x:v>
      </x:c>
      <x:c r="Q14" s="36" t="str">
        <x:v>Screenshot + logcat do período</x:v>
      </x:c>
      <x:c r="R14" s="52" t="str">
        <x:v>Não iniciado</x:v>
      </x:c>
      <x:c r="S14" s="36" t="str"/>
      <x:c r="T14" s="36" t="str"/>
      <x:c r="U14" s="36" t="str"/>
    </x:row>
    <x:row r="15" ht="78" customHeight="1">
      <x:c r="A15" s="52" t="n">
        <x:v>11</x:v>
      </x:c>
      <x:c r="B15" s="36" t="str">
        <x:v>SPD-011</x:v>
      </x:c>
      <x:c r="C15" s="36" t="str">
        <x:v>Resultado de velocidade</x:v>
      </x:c>
      <x:c r="D15" s="36" t="str">
        <x:v>Refazer teste</x:v>
      </x:c>
      <x:c r="E15" s="36" t="str">
        <x:v>Funcional</x:v>
      </x:c>
      <x:c r="F15" s="52" t="str">
        <x:v>P0</x:v>
      </x:c>
      <x:c r="G15" s="36" t="str">
        <x:v>Resultado aberto</x:v>
      </x:c>
      <x:c r="H15" s="36" t="str">
        <x:v>1. Tocar Refazer teste
2. Observar fechamento do resultado e nova execução</x:v>
      </x:c>
      <x:c r="I15" s="36" t="str">
        <x:v>Inicia nova medição uma única vez, limpa estado visual anterior e preserva histórico antigo.</x:v>
      </x:c>
      <x:c r="J15" s="36" t="str">
        <x:v>ResultadoVelocidadeScreen</x:v>
      </x:c>
      <x:c r="K15" s="36" t="str">
        <x:v>Refazer teste</x:v>
      </x:c>
      <x:c r="L15" s="52" t="n">
        <x:v>195</x:v>
      </x:c>
      <x:c r="M15" s="52" t="n">
        <x:v>748</x:v>
      </x:c>
      <x:c r="N15" s="52" t="n">
        <x:f>IF(L15="","",ROUND(L15*'00_Leia_Primeiro'!$B$15/'00_Leia_Primeiro'!$B$13,0))</x:f>
        <x:v>195</x:v>
      </x:c>
      <x:c r="O15" s="52" t="n">
        <x:f>IF(M15="","",ROUND(M15*'00_Leia_Primeiro'!$B$16/'00_Leia_Primeiro'!$B$14,0))</x:f>
        <x:v>748</x:v>
      </x:c>
      <x:c r="P15" s="36" t="str">
        <x:v>text~Refazer</x:v>
      </x:c>
      <x:c r="Q15" s="36" t="str">
        <x:v>Screenshot + logcat do período</x:v>
      </x:c>
      <x:c r="R15" s="52" t="str">
        <x:v>Não iniciado</x:v>
      </x:c>
      <x:c r="S15" s="36" t="str"/>
      <x:c r="T15" s="36" t="str"/>
      <x:c r="U15" s="36" t="str"/>
    </x:row>
    <x:row r="16" ht="78" customHeight="1">
      <x:c r="A16" s="52" t="n">
        <x:v>12</x:v>
      </x:c>
      <x:c r="B16" s="36" t="str">
        <x:v>SPD-012</x:v>
      </x:c>
      <x:c r="C16" s="36" t="str">
        <x:v>Resultado de velocidade</x:v>
      </x:c>
      <x:c r="D16" s="36" t="str">
        <x:v>Compartilhar PDF</x:v>
      </x:c>
      <x:c r="E16" s="36" t="str">
        <x:v>Funcional</x:v>
      </x:c>
      <x:c r="F16" s="52" t="str">
        <x:v>P0</x:v>
      </x:c>
      <x:c r="G16" s="36" t="str">
        <x:v>Resultado real concluído</x:v>
      </x:c>
      <x:c r="H16" s="36" t="str">
        <x:v>1. Tocar Compartilhar
2. Aguardar geração
3. Validar Android Sharesheet e arquivo</x:v>
      </x:c>
      <x:c r="I16" s="36" t="str">
        <x:v>PDF/arquivo é gerado com dados do teste, abre sharesheet e evento speedtest_compartilhou só ocorre após geração real.</x:v>
      </x:c>
      <x:c r="J16" s="36" t="str">
        <x:v>ResultadoPdfGenerator + commit 946d0513</x:v>
      </x:c>
      <x:c r="K16" s="36" t="str">
        <x:v>Compartilhar</x:v>
      </x:c>
      <x:c r="L16" s="52" t="n">
        <x:v>360</x:v>
      </x:c>
      <x:c r="M16" s="52" t="n">
        <x:v>52</x:v>
      </x:c>
      <x:c r="N16" s="52" t="n">
        <x:f>IF(L16="","",ROUND(L16*'00_Leia_Primeiro'!$B$15/'00_Leia_Primeiro'!$B$13,0))</x:f>
        <x:v>360</x:v>
      </x:c>
      <x:c r="O16" s="52" t="n">
        <x:f>IF(M16="","",ROUND(M16*'00_Leia_Primeiro'!$B$16/'00_Leia_Primeiro'!$B$14,0))</x:f>
        <x:v>52</x:v>
      </x:c>
      <x:c r="P16" s="36" t="str">
        <x:v>contentDescription~Compartilhar</x:v>
      </x:c>
      <x:c r="Q16" s="36" t="str">
        <x:v>Screenshot + logcat do período</x:v>
      </x:c>
      <x:c r="R16" s="52" t="str">
        <x:v>Não iniciado</x:v>
      </x:c>
      <x:c r="S16" s="36" t="str"/>
      <x:c r="T16" s="36" t="str"/>
      <x:c r="U16" s="36" t="str"/>
    </x:row>
    <x:row r="17" ht="78" customHeight="1">
      <x:c r="A17" s="52" t="n">
        <x:v>13</x:v>
      </x:c>
      <x:c r="B17" s="36" t="str">
        <x:v>SPD-013</x:v>
      </x:c>
      <x:c r="C17" s="36" t="str">
        <x:v>Resultado de velocidade</x:v>
      </x:c>
      <x:c r="D17" s="36" t="str">
        <x:v>Persistência no Histórico</x:v>
      </x:c>
      <x:c r="E17" s="36" t="str">
        <x:v>Funcional</x:v>
      </x:c>
      <x:c r="F17" s="52" t="str">
        <x:v>P0</x:v>
      </x:c>
      <x:c r="G17" s="36" t="str">
        <x:v>Teste concluído</x:v>
      </x:c>
      <x:c r="H17" s="36" t="str">
        <x:v>1. Anotar valores
2. Voltar e abrir Histórico
3. Abrir detalhe da entrada mais recente</x:v>
      </x:c>
      <x:c r="I17" s="36" t="str">
        <x:v>Existe exatamente uma nova entrada com mesmos valores, conexão, operadora e horário.</x:v>
      </x:c>
      <x:c r="J17" s="36" t="str">
        <x:v>SpeedtestPersistenceCoordinator + Room</x:v>
      </x:c>
      <x:c r="K17" s="36" t="str"/>
      <x:c r="L17" s="52"/>
      <x:c r="M17" s="52"/>
      <x:c r="N17" s="52" t="str">
        <x:f>IF(L17="","",ROUND(L17*'00_Leia_Primeiro'!$B$15/'00_Leia_Primeiro'!$B$13,0))</x:f>
      </x:c>
      <x:c r="O17" s="52" t="str">
        <x:f>IF(M17="","",ROUND(M17*'00_Leia_Primeiro'!$B$16/'00_Leia_Primeiro'!$B$14,0))</x:f>
      </x:c>
      <x:c r="P17" s="36" t="str"/>
      <x:c r="Q17" s="36" t="str">
        <x:v>Screenshot + logcat do período</x:v>
      </x:c>
      <x:c r="R17" s="52" t="str">
        <x:v>Não iniciado</x:v>
      </x:c>
      <x:c r="S17" s="36" t="str"/>
      <x:c r="T17" s="36" t="str"/>
      <x:c r="U17" s="36" t="str"/>
    </x:row>
    <x:row r="18" ht="78" customHeight="1">
      <x:c r="A18" s="52" t="n">
        <x:v>14</x:v>
      </x:c>
      <x:c r="B18" s="36" t="str">
        <x:v>SPD-014</x:v>
      </x:c>
      <x:c r="C18" s="36" t="str">
        <x:v>Velocidade</x:v>
      </x:c>
      <x:c r="D18" s="36" t="str">
        <x:v>Último resultado no idle</x:v>
      </x:c>
      <x:c r="E18" s="36" t="str">
        <x:v>Funcional</x:v>
      </x:c>
      <x:c r="F18" s="52" t="str">
        <x:v>P1</x:v>
      </x:c>
      <x:c r="G18" s="36" t="str">
        <x:v>Ao menos um teste persistido</x:v>
      </x:c>
      <x:c r="H18" s="36" t="str">
        <x:v>1. Fechar resultado
2. Voltar para aba Velocidade
3. Comparar card Último resultado</x:v>
      </x:c>
      <x:c r="I18" s="36" t="str">
        <x:v>Card mostra o teste mais recente, com link/ação coerente; anúncio, se habilitado, não quebra layout.</x:v>
      </x:c>
      <x:c r="J18" s="36" t="str">
        <x:v>Commit 0683f70 — NativeAdRow após último resultado</x:v>
      </x:c>
      <x:c r="K18" s="36" t="str"/>
      <x:c r="L18" s="52"/>
      <x:c r="M18" s="52"/>
      <x:c r="N18" s="52" t="str">
        <x:f>IF(L18="","",ROUND(L18*'00_Leia_Primeiro'!$B$15/'00_Leia_Primeiro'!$B$13,0))</x:f>
      </x:c>
      <x:c r="O18" s="52" t="str">
        <x:f>IF(M18="","",ROUND(M18*'00_Leia_Primeiro'!$B$16/'00_Leia_Primeiro'!$B$14,0))</x:f>
      </x:c>
      <x:c r="P18" s="36" t="str"/>
      <x:c r="Q18" s="36" t="str">
        <x:v>Screenshot + logcat do período</x:v>
      </x:c>
      <x:c r="R18" s="52" t="str">
        <x:v>Não iniciado</x:v>
      </x:c>
      <x:c r="S18" s="36" t="str"/>
      <x:c r="T18" s="36" t="str"/>
      <x:c r="U18" s="36" t="str"/>
    </x:row>
    <x:row r="19" ht="78" customHeight="1">
      <x:c r="A19" s="52" t="n">
        <x:v>15</x:v>
      </x:c>
      <x:c r="B19" s="36" t="str">
        <x:v>SPD-015</x:v>
      </x:c>
      <x:c r="C19" s="36" t="str">
        <x:v>Velocidade</x:v>
      </x:c>
      <x:c r="D19" s="36" t="str">
        <x:v>Rede móvel pede confirmação</x:v>
      </x:c>
      <x:c r="E19" s="36" t="str">
        <x:v>Funcional</x:v>
      </x:c>
      <x:c r="F19" s="52" t="str">
        <x:v>P0</x:v>
      </x:c>
      <x:c r="G19" s="36" t="str">
        <x:v>Conexão ativa móvel/metered; modo completo</x:v>
      </x:c>
      <x:c r="H19" s="36" t="str">
        <x:v>1. Tocar iniciar
2. Ler aviso de consumo
3. Cancelar
4. Repetir e confirmar</x:v>
      </x:c>
      <x:c r="I19" s="36" t="str">
        <x:v>Aviso aparece uma vez antes do teste pesado; cancelar não inicia; confirmar inicia; não há loop.</x:v>
      </x:c>
      <x:c r="J19" s="36" t="str">
        <x:v>AppShell — ForaDoWifiDialog + deveSolicitarConfirmacaoRedeMovel</x:v>
      </x:c>
      <x:c r="K19" s="36" t="str"/>
      <x:c r="L19" s="52"/>
      <x:c r="M19" s="52"/>
      <x:c r="N19" s="52" t="str">
        <x:f>IF(L19="","",ROUND(L19*'00_Leia_Primeiro'!$B$15/'00_Leia_Primeiro'!$B$13,0))</x:f>
      </x:c>
      <x:c r="O19" s="52" t="str">
        <x:f>IF(M19="","",ROUND(M19*'00_Leia_Primeiro'!$B$16/'00_Leia_Primeiro'!$B$14,0))</x:f>
      </x:c>
      <x:c r="P19" s="36" t="str"/>
      <x:c r="Q19" s="36" t="str">
        <x:v>Screenshot + logcat do período</x:v>
      </x:c>
      <x:c r="R19" s="52" t="str">
        <x:v>Não iniciado</x:v>
      </x:c>
      <x:c r="S19" s="36" t="str"/>
      <x:c r="T19" s="36" t="str"/>
      <x:c r="U19" s="36" t="str"/>
    </x:row>
    <x:row r="20" ht="78" customHeight="1">
      <x:c r="A20" s="52" t="n">
        <x:v>16</x:v>
      </x:c>
      <x:c r="B20" s="36" t="str">
        <x:v>SPD-016</x:v>
      </x:c>
      <x:c r="C20" s="36" t="str">
        <x:v>Velocidade</x:v>
      </x:c>
      <x:c r="D20" s="36" t="str">
        <x:v>Modo rápido em rede móvel</x:v>
      </x:c>
      <x:c r="E20" s="36" t="str">
        <x:v>Funcional</x:v>
      </x:c>
      <x:c r="F20" s="52" t="str">
        <x:v>P1</x:v>
      </x:c>
      <x:c r="G20" s="36" t="str">
        <x:v>Conexão móvel</x:v>
      </x:c>
      <x:c r="H20" s="36" t="str">
        <x:v>1. Selecionar modo rápido, se disponível
2. Iniciar</x:v>
      </x:c>
      <x:c r="I20" s="36" t="str">
        <x:v>Comportamento segue regra do código; confirmação não é exibida indevidamente para modo que não exige carga pesada.</x:v>
      </x:c>
      <x:c r="J20" s="36" t="str">
        <x:v>deveSolicitarConfirmacaoRedeMovel</x:v>
      </x:c>
      <x:c r="K20" s="36" t="str"/>
      <x:c r="L20" s="52"/>
      <x:c r="M20" s="52"/>
      <x:c r="N20" s="52" t="str">
        <x:f>IF(L20="","",ROUND(L20*'00_Leia_Primeiro'!$B$15/'00_Leia_Primeiro'!$B$13,0))</x:f>
      </x:c>
      <x:c r="O20" s="52" t="str">
        <x:f>IF(M20="","",ROUND(M20*'00_Leia_Primeiro'!$B$16/'00_Leia_Primeiro'!$B$14,0))</x:f>
      </x:c>
      <x:c r="P20" s="36" t="str"/>
      <x:c r="Q20" s="36" t="str">
        <x:v>Screenshot + logcat do período</x:v>
      </x:c>
      <x:c r="R20" s="52" t="str">
        <x:v>Não iniciado</x:v>
      </x:c>
      <x:c r="S20" s="36" t="str"/>
      <x:c r="T20" s="36" t="str"/>
      <x:c r="U20" s="36" t="str"/>
    </x:row>
    <x:row r="21" ht="78" customHeight="1">
      <x:c r="A21" s="52" t="n">
        <x:v>17</x:v>
      </x:c>
      <x:c r="B21" s="36" t="str">
        <x:v>SPD-017</x:v>
      </x:c>
      <x:c r="C21" s="36" t="str">
        <x:v>Velocidade</x:v>
      </x:c>
      <x:c r="D21" s="36" t="str">
        <x:v>Sem internet</x:v>
      </x:c>
      <x:c r="E21" s="36" t="str">
        <x:v>Erro</x:v>
      </x:c>
      <x:c r="F21" s="52" t="str">
        <x:v>P0</x:v>
      </x:c>
      <x:c r="G21" s="36" t="str">
        <x:v>Sem internet</x:v>
      </x:c>
      <x:c r="H21" s="36" t="str">
        <x:v>1. Tentar iniciar
2. Aguardar timeout/erro
3. Ler mensagem
4. Tentar novamente após restaurar rede</x:v>
      </x:c>
      <x:c r="I21" s="36" t="str">
        <x:v>Erro é claro, não trava, permite voltar/tentar novamente; não cria medição falsa.</x:v>
      </x:c>
      <x:c r="J21" s="36" t="str">
        <x:v>ExecutorSpeedtestCloudflare + estado erro</x:v>
      </x:c>
      <x:c r="K21" s="36" t="str"/>
      <x:c r="L21" s="52"/>
      <x:c r="M21" s="52"/>
      <x:c r="N21" s="52" t="str">
        <x:f>IF(L21="","",ROUND(L21*'00_Leia_Primeiro'!$B$15/'00_Leia_Primeiro'!$B$13,0))</x:f>
      </x:c>
      <x:c r="O21" s="52" t="str">
        <x:f>IF(M21="","",ROUND(M21*'00_Leia_Primeiro'!$B$16/'00_Leia_Primeiro'!$B$14,0))</x:f>
      </x:c>
      <x:c r="P21" s="36" t="str"/>
      <x:c r="Q21" s="36" t="str">
        <x:v>Screenshot + logcat do período</x:v>
      </x:c>
      <x:c r="R21" s="52" t="str">
        <x:v>Não iniciado</x:v>
      </x:c>
      <x:c r="S21" s="36" t="str"/>
      <x:c r="T21" s="36" t="str"/>
      <x:c r="U21" s="36" t="str"/>
    </x:row>
    <x:row r="22" ht="78" customHeight="1">
      <x:c r="A22" s="52" t="n">
        <x:v>18</x:v>
      </x:c>
      <x:c r="B22" s="36" t="str">
        <x:v>SPD-018</x:v>
      </x:c>
      <x:c r="C22" s="36" t="str">
        <x:v>Velocidade</x:v>
      </x:c>
      <x:c r="D22" s="36" t="str">
        <x:v>Back na tela de erro</x:v>
      </x:c>
      <x:c r="E22" s="36" t="str">
        <x:v>Navegação</x:v>
      </x:c>
      <x:c r="F22" s="52" t="str">
        <x:v>P0</x:v>
      </x:c>
      <x:c r="G22" s="36" t="str">
        <x:v>Speedtest em estado erro</x:v>
      </x:c>
      <x:c r="H22" s="36" t="str">
        <x:v>1. Pressionar back físico/gesto</x:v>
      </x:c>
      <x:c r="I22" s="36" t="str">
        <x:v>Descarta estado de erro/cancela e volta ao idle; não fecha o app.</x:v>
      </x:c>
      <x:c r="J22" s="36" t="str">
        <x:v>AppShell.kt — BackHandler estado erro</x:v>
      </x:c>
      <x:c r="K22" s="36" t="str"/>
      <x:c r="L22" s="52"/>
      <x:c r="M22" s="52"/>
      <x:c r="N22" s="52" t="str">
        <x:f>IF(L22="","",ROUND(L22*'00_Leia_Primeiro'!$B$15/'00_Leia_Primeiro'!$B$13,0))</x:f>
      </x:c>
      <x:c r="O22" s="52" t="str">
        <x:f>IF(M22="","",ROUND(M22*'00_Leia_Primeiro'!$B$16/'00_Leia_Primeiro'!$B$14,0))</x:f>
      </x:c>
      <x:c r="P22" s="36" t="str"/>
      <x:c r="Q22" s="36" t="str">
        <x:v>Screenshot + logcat do período</x:v>
      </x:c>
      <x:c r="R22" s="52" t="str">
        <x:v>Não iniciado</x:v>
      </x:c>
      <x:c r="S22" s="36" t="str"/>
      <x:c r="T22" s="36" t="str"/>
      <x:c r="U22" s="36" t="str"/>
    </x:row>
    <x:row r="23" ht="78" customHeight="1">
      <x:c r="A23" s="52" t="n">
        <x:v>19</x:v>
      </x:c>
      <x:c r="B23" s="36" t="str">
        <x:v>SPD-019</x:v>
      </x:c>
      <x:c r="C23" s="36" t="str">
        <x:v>Velocidade</x:v>
      </x:c>
      <x:c r="D23" s="36" t="str">
        <x:v>Duplo toque no CTA</x:v>
      </x:c>
      <x:c r="E23" s="36" t="str">
        <x:v>Confiabilidade</x:v>
      </x:c>
      <x:c r="F23" s="52" t="str">
        <x:v>P1</x:v>
      </x:c>
      <x:c r="G23" s="36" t="str">
        <x:v>Tela idle</x:v>
      </x:c>
      <x:c r="H23" s="36" t="str">
        <x:v>1. Tocar duas vezes rapidamente no CTA
2. Observar logs e UI</x:v>
      </x:c>
      <x:c r="I23" s="36" t="str">
        <x:v>Apenas uma execução e uma sessão são criadas; sem sobreposição de progresso.</x:v>
      </x:c>
      <x:c r="J23" s="36" t="str">
        <x:v>SpeedtestViewModel</x:v>
      </x:c>
      <x:c r="K23" s="36" t="str"/>
      <x:c r="L23" s="52"/>
      <x:c r="M23" s="52"/>
      <x:c r="N23" s="52" t="str">
        <x:f>IF(L23="","",ROUND(L23*'00_Leia_Primeiro'!$B$15/'00_Leia_Primeiro'!$B$13,0))</x:f>
      </x:c>
      <x:c r="O23" s="52" t="str">
        <x:f>IF(M23="","",ROUND(M23*'00_Leia_Primeiro'!$B$16/'00_Leia_Primeiro'!$B$14,0))</x:f>
      </x:c>
      <x:c r="P23" s="36" t="str"/>
      <x:c r="Q23" s="36" t="str">
        <x:v>Screenshot + logcat do período</x:v>
      </x:c>
      <x:c r="R23" s="52" t="str">
        <x:v>Não iniciado</x:v>
      </x:c>
      <x:c r="S23" s="36" t="str"/>
      <x:c r="T23" s="36" t="str"/>
      <x:c r="U23" s="36" t="str"/>
    </x:row>
    <x:row r="24" ht="78" customHeight="1">
      <x:c r="A24" s="52" t="n">
        <x:v>20</x:v>
      </x:c>
      <x:c r="B24" s="36" t="str">
        <x:v>SPD-020</x:v>
      </x:c>
      <x:c r="C24" s="36" t="str">
        <x:v>Velocidade</x:v>
      </x:c>
      <x:c r="D24" s="36" t="str">
        <x:v>Background/foreground durante teste</x:v>
      </x:c>
      <x:c r="E24" s="36" t="str">
        <x:v>Confiabilidade</x:v>
      </x:c>
      <x:c r="F24" s="52" t="str">
        <x:v>P1</x:v>
      </x:c>
      <x:c r="G24" s="36" t="str">
        <x:v>Teste executando</x:v>
      </x:c>
      <x:c r="H24" s="36" t="str">
        <x:v>1. Enviar app para background por 5 s
2. Retornar
3. Aguardar conclusão</x:v>
      </x:c>
      <x:c r="I24" s="36" t="str">
        <x:v>Estado continua coerente ou cancela de forma explícita; sem crash, ANR ou resultado duplicado.</x:v>
      </x:c>
      <x:c r="J24" s="36" t="str">
        <x:v>Lifecycle + StateFlow</x:v>
      </x:c>
      <x:c r="K24" s="36" t="str"/>
      <x:c r="L24" s="52"/>
      <x:c r="M24" s="52"/>
      <x:c r="N24" s="52" t="str">
        <x:f>IF(L24="","",ROUND(L24*'00_Leia_Primeiro'!$B$15/'00_Leia_Primeiro'!$B$13,0))</x:f>
      </x:c>
      <x:c r="O24" s="52" t="str">
        <x:f>IF(M24="","",ROUND(M24*'00_Leia_Primeiro'!$B$16/'00_Leia_Primeiro'!$B$14,0))</x:f>
      </x:c>
      <x:c r="P24" s="36" t="str"/>
      <x:c r="Q24" s="36" t="str">
        <x:v>Screenshot + logcat do período</x:v>
      </x:c>
      <x:c r="R24" s="52" t="str">
        <x:v>Não iniciado</x:v>
      </x:c>
      <x:c r="S24" s="36" t="str"/>
      <x:c r="T24" s="36" t="str"/>
      <x:c r="U24" s="36" t="str"/>
    </x:row>
    <x:row r="25" ht="78" customHeight="1">
      <x:c r="A25" s="52" t="n">
        <x:v>21</x:v>
      </x:c>
      <x:c r="B25" s="36" t="str">
        <x:v>SPD-021</x:v>
      </x:c>
      <x:c r="C25" s="36" t="str">
        <x:v>Resultado de velocidade</x:v>
      </x:c>
      <x:c r="D25" s="36" t="str">
        <x:v>Banner/disclaimer Anatel</x:v>
      </x:c>
      <x:c r="E25" s="36" t="str">
        <x:v>Design</x:v>
      </x:c>
      <x:c r="F25" s="52" t="str">
        <x:v>P1</x:v>
      </x:c>
      <x:c r="G25" s="36" t="str">
        <x:v>Resultado aberto</x:v>
      </x:c>
      <x:c r="H25" s="36" t="str">
        <x:v>1. Rolar até o rodapé
2. Inspecionar disclaimer e CTA fixo</x:v>
      </x:c>
      <x:c r="I25" s="36" t="str">
        <x:v>Disclaimer legível, não encobre conteúdo/CTA e respeita insets.</x:v>
      </x:c>
      <x:c r="J25" s="36" t="str">
        <x:v>Commit 0683f70 — barra fixa/Anatel</x:v>
      </x:c>
      <x:c r="K25" s="36" t="str"/>
      <x:c r="L25" s="52"/>
      <x:c r="M25" s="52"/>
      <x:c r="N25" s="52" t="str">
        <x:f>IF(L25="","",ROUND(L25*'00_Leia_Primeiro'!$B$15/'00_Leia_Primeiro'!$B$13,0))</x:f>
      </x:c>
      <x:c r="O25" s="52" t="str">
        <x:f>IF(M25="","",ROUND(M25*'00_Leia_Primeiro'!$B$16/'00_Leia_Primeiro'!$B$14,0))</x:f>
      </x:c>
      <x:c r="P25" s="36" t="str"/>
      <x:c r="Q25" s="36" t="str">
        <x:v>Screenshot + logcat do período</x:v>
      </x:c>
      <x:c r="R25" s="52" t="str">
        <x:v>Não iniciado</x:v>
      </x:c>
      <x:c r="S25" s="36" t="str"/>
      <x:c r="T25" s="36" t="str"/>
      <x:c r="U25" s="36" t="str"/>
    </x:row>
    <x:row r="26" ht="78" customHeight="1">
      <x:c r="A26" s="52" t="n">
        <x:v>22</x:v>
      </x:c>
      <x:c r="B26" s="36" t="str">
        <x:v>SPD-022</x:v>
      </x:c>
      <x:c r="C26" s="36" t="str">
        <x:v>Resultado de velocidade</x:v>
      </x:c>
      <x:c r="D26" s="36" t="str">
        <x:v>Anúncio nativo quando habilitado</x:v>
      </x:c>
      <x:c r="E26" s="36" t="str">
        <x:v>Design</x:v>
      </x:c>
      <x:c r="F26" s="52" t="str">
        <x:v>P2</x:v>
      </x:c>
      <x:c r="G26" s="36" t="str">
        <x:v>Ads habilitados e inventário disponível</x:v>
      </x:c>
      <x:c r="H26" s="36" t="str">
        <x:v>1. Rolar até o fim
2. Aguardar anúncio
3. Testar ausência de inventário</x:v>
      </x:c>
      <x:c r="I26" s="36" t="str">
        <x:v>Anúncio aparece somente no slot previsto, identificado, sem competir com CTA; ausência não deixa buraco quebrado.</x:v>
      </x:c>
      <x:c r="J26" s="36" t="str">
        <x:v>Commit 0683f70 — AdSlot</x:v>
      </x:c>
      <x:c r="K26" s="36" t="str"/>
      <x:c r="L26" s="52"/>
      <x:c r="M26" s="52"/>
      <x:c r="N26" s="52" t="str">
        <x:f>IF(L26="","",ROUND(L26*'00_Leia_Primeiro'!$B$15/'00_Leia_Primeiro'!$B$13,0))</x:f>
      </x:c>
      <x:c r="O26" s="52" t="str">
        <x:f>IF(M26="","",ROUND(M26*'00_Leia_Primeiro'!$B$16/'00_Leia_Primeiro'!$B$14,0))</x:f>
      </x:c>
      <x:c r="P26" s="36" t="str"/>
      <x:c r="Q26" s="36" t="str">
        <x:v>Screenshot + logcat do período</x:v>
      </x:c>
      <x:c r="R26" s="52" t="str">
        <x:v>Não iniciado</x:v>
      </x:c>
      <x:c r="S26" s="36" t="str"/>
      <x:c r="T26" s="36" t="str"/>
      <x:c r="U26" s="36" t="str"/>
    </x:row>
    <x:row r="27" ht="78" customHeight="1">
      <x:c r="A27" s="52" t="n">
        <x:v>23</x:v>
      </x:c>
      <x:c r="B27" s="36" t="str">
        <x:v>SPD-023</x:v>
      </x:c>
      <x:c r="C27" s="36" t="str">
        <x:v>Velocidade</x:v>
      </x:c>
      <x:c r="D27" s="36" t="str">
        <x:v>Logs do funil</x:v>
      </x:c>
      <x:c r="E27" s="36" t="str">
        <x:v>Logs</x:v>
      </x:c>
      <x:c r="F27" s="52" t="str">
        <x:v>P1</x:v>
      </x:c>
      <x:c r="G27" s="36" t="str">
        <x:v>Executar iniciar→concluir→compartilhar</x:v>
      </x:c>
      <x:c r="H27" s="36" t="str">
        <x:v>1. Filtrar log/analytics
2. Verificar ordem e quantidade</x:v>
      </x:c>
      <x:c r="I27" s="36" t="str">
        <x:v>Eventos abriu, speedtest_iniciado, speedtest_completou e speedtest_compartilhou aparecem uma vez, na ordem, correlacionáveis.</x:v>
      </x:c>
      <x:c r="J27" s="36" t="str">
        <x:v>Commit 946d0513</x:v>
      </x:c>
      <x:c r="K27" s="36" t="str"/>
      <x:c r="L27" s="52"/>
      <x:c r="M27" s="52"/>
      <x:c r="N27" s="52" t="str">
        <x:f>IF(L27="","",ROUND(L27*'00_Leia_Primeiro'!$B$15/'00_Leia_Primeiro'!$B$13,0))</x:f>
      </x:c>
      <x:c r="O27" s="52" t="str">
        <x:f>IF(M27="","",ROUND(M27*'00_Leia_Primeiro'!$B$16/'00_Leia_Primeiro'!$B$14,0))</x:f>
      </x:c>
      <x:c r="P27" s="36" t="str"/>
      <x:c r="Q27" s="36" t="str">
        <x:v>Screenshot + logcat do período</x:v>
      </x:c>
      <x:c r="R27" s="52" t="str">
        <x:v>Não iniciado</x:v>
      </x:c>
      <x:c r="S27" s="36" t="str"/>
      <x:c r="T27" s="36" t="str"/>
      <x:c r="U27" s="36" t="str"/>
    </x:row>
    <x:row r="28" ht="78" customHeight="1">
      <x:c r="A28" s="52" t="n">
        <x:v>24</x:v>
      </x:c>
      <x:c r="B28" s="36" t="str">
        <x:v>SPD-024</x:v>
      </x:c>
      <x:c r="C28" s="36" t="str">
        <x:v>Velocidade</x:v>
      </x:c>
      <x:c r="D28" s="36" t="str">
        <x:v>Sem ANR e responsividade</x:v>
      </x:c>
      <x:c r="E28" s="36" t="str">
        <x:v>Performance</x:v>
      </x:c>
      <x:c r="F28" s="52" t="str">
        <x:v>P0</x:v>
      </x:c>
      <x:c r="G28" s="36" t="str">
        <x:v>Teste completo</x:v>
      </x:c>
      <x:c r="H28" s="36" t="str">
        <x:v>1. Durante execução, interagir com cancelar e sistema
2. Monitorar frames/logs
3. Aguardar 2 testes seguidos</x:v>
      </x:c>
      <x:c r="I28" s="36" t="str">
        <x:v>UI permanece responsiva, sem ANR/FATAL; memória não cresce de forma evidente entre execuções.</x:v>
      </x:c>
      <x:c r="J28" s="36" t="str">
        <x:v>Crashlytics/Android vitals</x:v>
      </x:c>
      <x:c r="K28" s="36" t="str"/>
      <x:c r="L28" s="52"/>
      <x:c r="M28" s="52"/>
      <x:c r="N28" s="52" t="str">
        <x:f>IF(L28="","",ROUND(L28*'00_Leia_Primeiro'!$B$15/'00_Leia_Primeiro'!$B$13,0))</x:f>
      </x:c>
      <x:c r="O28" s="52" t="str">
        <x:f>IF(M28="","",ROUND(M28*'00_Leia_Primeiro'!$B$16/'00_Leia_Primeiro'!$B$14,0))</x:f>
      </x:c>
      <x:c r="P28" s="36" t="str"/>
      <x:c r="Q28" s="36" t="str">
        <x:v>Screenshot + logcat do período</x:v>
      </x:c>
      <x:c r="R28" s="52" t="str">
        <x:v>Não iniciado</x:v>
      </x:c>
      <x:c r="S28" s="36" t="str"/>
      <x:c r="T28" s="36" t="str"/>
      <x:c r="U28" s="36" t="str"/>
    </x:row>
  </x:sheetData>
  <x:mergeCells>
    <x:mergeCell ref="A1:U1"/>
    <x:mergeCell ref="A2:U2"/>
  </x:mergeCells>
  <x:conditionalFormatting sqref="R5:R28">
    <x:cfRule type="expression" dxfId="14" priority="1">
      <x:formula>R5="Passou"</x:formula>
    </x:cfRule>
    <x:cfRule type="expression" dxfId="15" priority="2">
      <x:formula>R5="Falhou"</x:formula>
    </x:cfRule>
    <x:cfRule type="expression" dxfId="16" priority="3">
      <x:formula>R5="Bloqueado"</x:formula>
    </x:cfRule>
    <x:cfRule type="expression" dxfId="17" priority="4">
      <x:formula>R5="Em execução"</x:formula>
    </x:cfRule>
    <x:cfRule type="expression" dxfId="18" priority="5">
      <x:formula>R5="N/A"</x:formula>
    </x:cfRule>
  </x:conditionalFormatting>
  <x:conditionalFormatting sqref="F5:F28">
    <x:cfRule type="expression" dxfId="19" priority="6">
      <x:formula>F5="P0"</x:formula>
    </x:cfRule>
    <x:cfRule type="expression" dxfId="20" priority="7">
      <x:formula>F5="P1"</x:formula>
    </x:cfRule>
  </x:conditionalFormatting>
  <x:dataValidations count="2">
    <x:dataValidation type="list" sqref="F5:F28">
      <x:formula1>"P0,P1,P2,P3"</x:formula1>
    </x:dataValidation>
    <x:dataValidation type="list" sqref="R5:R28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48848a05aa4cd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7" hidden="0" customWidth="1"/>
    <x:col min="5" max="5" width="16" hidden="0" customWidth="1"/>
    <x:col min="6" max="6" width="10" hidden="0" customWidth="1"/>
    <x:col min="7" max="7" width="34" hidden="0" customWidth="1"/>
    <x:col min="8" max="8" width="48" hidden="0" customWidth="1"/>
    <x:col min="9" max="9" width="48" hidden="0" customWidth="1"/>
    <x:col min="10" max="10" width="42" hidden="0" customWidth="1"/>
    <x:col min="11" max="11" width="24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32" hidden="0" customWidth="1"/>
    <x:col min="17" max="17" width="28" hidden="0" customWidth="1"/>
    <x:col min="18" max="18" width="16" hidden="0" customWidth="1"/>
    <x:col min="19" max="19" width="20" hidden="0" customWidth="1"/>
    <x:col min="20" max="20" width="34" hidden="0" customWidth="1"/>
    <x:col min="21" max="21" width="27" hidden="0" customWidth="1"/>
  </x:cols>
  <x:sheetData>
    <x:row r="1" ht="32" customHeight="1">
      <x:c r="A1" s="5" t="str">
        <x:v>Sinal Wi-Fi, canais, móvel e topologia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3" t="str">
        <x:v>Execute em ordem. Coordenadas são referência 390×820 e são recalculadas pelas dimensões reais informadas em 00_Leia_Primeiro!B15:B16. Use seletor semântico antes de tap por coordenada.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</x:row>
    <x:row r="4" ht="44" customHeight="1">
      <x:c r="A4" s="28" t="str">
        <x:v>Ordem</x:v>
      </x:c>
      <x:c r="B4" s="28" t="str">
        <x:v>ID</x:v>
      </x:c>
      <x:c r="C4" s="28" t="str">
        <x:v>Tela / componente</x:v>
      </x:c>
      <x:c r="D4" s="28" t="str">
        <x:v>Estado / cenário</x:v>
      </x:c>
      <x:c r="E4" s="28" t="str">
        <x:v>Categoria</x:v>
      </x:c>
      <x:c r="F4" s="28" t="str">
        <x:v>Prioridade</x:v>
      </x:c>
      <x:c r="G4" s="28" t="str">
        <x:v>Pré-condições</x:v>
      </x:c>
      <x:c r="H4" s="28" t="str">
        <x:v>Passo a passo</x:v>
      </x:c>
      <x:c r="I4" s="28" t="str">
        <x:v>Resultado esperado</x:v>
      </x:c>
      <x:c r="J4" s="28" t="str">
        <x:v>Referência design / código</x:v>
      </x:c>
      <x:c r="K4" s="28" t="str">
        <x:v>Ação / alvo</x:v>
      </x:c>
      <x:c r="L4" s="28" t="str">
        <x:v>X base 390</x:v>
      </x:c>
      <x:c r="M4" s="28" t="str">
        <x:v>Y base 820</x:v>
      </x:c>
      <x:c r="N4" s="28" t="str">
        <x:v>X device</x:v>
      </x:c>
      <x:c r="O4" s="28" t="str">
        <x:v>Y device</x:v>
      </x:c>
      <x:c r="P4" s="28" t="str">
        <x:v>Seletor preferencial</x:v>
      </x:c>
      <x:c r="Q4" s="28" t="str">
        <x:v>Evidência esperada</x:v>
      </x:c>
      <x:c r="R4" s="28" t="str">
        <x:v>Status</x:v>
      </x:c>
      <x:c r="S4" s="28" t="str">
        <x:v>Bug GitHub</x:v>
      </x:c>
      <x:c r="T4" s="28" t="str">
        <x:v>Observações</x:v>
      </x:c>
      <x:c r="U4" s="28" t="str">
        <x:v>Bloqueador / dependência</x:v>
      </x:c>
    </x:row>
    <x:row r="5" ht="78" customHeight="1">
      <x:c r="A5" s="52" t="n">
        <x:v>1</x:v>
      </x:c>
      <x:c r="B5" s="36" t="str">
        <x:v>SIG-001</x:v>
      </x:c>
      <x:c r="C5" s="36" t="str">
        <x:v>Sinal</x:v>
      </x:c>
      <x:c r="D5" s="36" t="str">
        <x:v>Estrutura To-Be e tabs internas</x:v>
      </x:c>
      <x:c r="E5" s="36" t="str">
        <x:v>Design</x:v>
      </x:c>
      <x:c r="F5" s="52" t="str">
        <x:v>P0</x:v>
      </x:c>
      <x:c r="G5" s="36" t="str">
        <x:v>Permissão de localização concedida; Wi-Fi ativo</x:v>
      </x:c>
      <x:c r="H5" s="36" t="str">
        <x:v>1. Abrir aba Sinal
2. Capturar tela
3. Verificar tabs Todos, Wi-Fi, Canal e Móvel</x:v>
      </x:c>
      <x:c r="I5" s="36" t="str">
        <x:v>Hierarquia MD3, tabs legíveis/roláveis se necessário, dados agrupados; bottom nav não sobrepõe conteúdo.</x:v>
      </x:c>
      <x:c r="J5" s="36" t="str">
        <x:v>C:\Users\luizg\Documents\7Agents\Claude Design\SignallQ Design System — SinalScreen</x:v>
      </x:c>
      <x:c r="K5" s="36" t="str">
        <x:v>Aba Sinal</x:v>
      </x:c>
      <x:c r="L5" s="52" t="n">
        <x:v>195</x:v>
      </x:c>
      <x:c r="M5" s="52" t="n">
        <x:v>785</x:v>
      </x:c>
      <x:c r="N5" s="52" t="n">
        <x:f>IF(L5="","",ROUND(L5*'00_Leia_Primeiro'!$B$15/'00_Leia_Primeiro'!$B$13,0))</x:f>
        <x:v>195</x:v>
      </x:c>
      <x:c r="O5" s="52" t="n">
        <x:f>IF(M5="","",ROUND(M5*'00_Leia_Primeiro'!$B$16/'00_Leia_Primeiro'!$B$14,0))</x:f>
        <x:v>785</x:v>
      </x:c>
      <x:c r="P5" s="36" t="str">
        <x:v>text=Sinal</x:v>
      </x:c>
      <x:c r="Q5" s="36" t="str">
        <x:v>Screenshot + logcat do período</x:v>
      </x:c>
      <x:c r="R5" s="52" t="str">
        <x:v>Não iniciado</x:v>
      </x:c>
      <x:c r="S5" s="36" t="str"/>
      <x:c r="T5" s="36" t="str"/>
      <x:c r="U5" s="36" t="str"/>
    </x:row>
    <x:row r="6" ht="78" customHeight="1">
      <x:c r="A6" s="52" t="n">
        <x:v>2</x:v>
      </x:c>
      <x:c r="B6" s="36" t="str">
        <x:v>SIG-002</x:v>
      </x:c>
      <x:c r="C6" s="36" t="str">
        <x:v>Sinal</x:v>
      </x:c>
      <x:c r="D6" s="36" t="str">
        <x:v>Tab Todos</x:v>
      </x:c>
      <x:c r="E6" s="36" t="str">
        <x:v>Funcional</x:v>
      </x:c>
      <x:c r="F6" s="52" t="str">
        <x:v>P1</x:v>
      </x:c>
      <x:c r="G6" s="36" t="str">
        <x:v>Sinal aberto</x:v>
      </x:c>
      <x:c r="H6" s="36" t="str">
        <x:v>1. Selecionar Todos
2. Validar resumo Wi-Fi/canal/móvel conforme disponibilidade</x:v>
      </x:c>
      <x:c r="I6" s="36" t="str">
        <x:v>Mostra visão consolidada sem duplicar blocos; indisponíveis têm estado explícito.</x:v>
      </x:c>
      <x:c r="J6" s="36" t="str">
        <x:v>SinalScreen.kt</x:v>
      </x:c>
      <x:c r="K6" s="36" t="str">
        <x:v>Todos</x:v>
      </x:c>
      <x:c r="L6" s="52" t="n">
        <x:v>48</x:v>
      </x:c>
      <x:c r="M6" s="52" t="n">
        <x:v>112</x:v>
      </x:c>
      <x:c r="N6" s="52" t="n">
        <x:f>IF(L6="","",ROUND(L6*'00_Leia_Primeiro'!$B$15/'00_Leia_Primeiro'!$B$13,0))</x:f>
        <x:v>48</x:v>
      </x:c>
      <x:c r="O6" s="52" t="n">
        <x:f>IF(M6="","",ROUND(M6*'00_Leia_Primeiro'!$B$16/'00_Leia_Primeiro'!$B$14,0))</x:f>
        <x:v>112</x:v>
      </x:c>
      <x:c r="P6" s="36" t="str">
        <x:v>text=Todos</x:v>
      </x:c>
      <x:c r="Q6" s="36" t="str">
        <x:v>Screenshot + logcat do período</x:v>
      </x:c>
      <x:c r="R6" s="52" t="str">
        <x:v>Não iniciado</x:v>
      </x:c>
      <x:c r="S6" s="36" t="str"/>
      <x:c r="T6" s="36" t="str"/>
      <x:c r="U6" s="36" t="str"/>
    </x:row>
    <x:row r="7" ht="78" customHeight="1">
      <x:c r="A7" s="52" t="n">
        <x:v>3</x:v>
      </x:c>
      <x:c r="B7" s="36" t="str">
        <x:v>SIG-003</x:v>
      </x:c>
      <x:c r="C7" s="36" t="str">
        <x:v>Sinal</x:v>
      </x:c>
      <x:c r="D7" s="36" t="str">
        <x:v>Tab Wi-Fi</x:v>
      </x:c>
      <x:c r="E7" s="36" t="str">
        <x:v>Funcional</x:v>
      </x:c>
      <x:c r="F7" s="52" t="str">
        <x:v>P0</x:v>
      </x:c>
      <x:c r="G7" s="36" t="str">
        <x:v>Wi-Fi conectado</x:v>
      </x:c>
      <x:c r="H7" s="36" t="str">
        <x:v>1. Selecionar Wi-Fi
2. Comparar SSID, RSSI, frequência, banda, link speed e segurança com dumpsys wifi</x:v>
      </x:c>
      <x:c r="I7" s="36" t="str">
        <x:v>Dados refletem a conexão atual; valores e labels corretos; sem MAC/BSSID indevidamente exposto ao usuário.</x:v>
      </x:c>
      <x:c r="J7" s="36" t="str">
        <x:v>WifiLinkSnapshot + SinalScreen</x:v>
      </x:c>
      <x:c r="K7" s="36" t="str">
        <x:v>Wi-Fi</x:v>
      </x:c>
      <x:c r="L7" s="52" t="n">
        <x:v>135</x:v>
      </x:c>
      <x:c r="M7" s="52" t="n">
        <x:v>112</x:v>
      </x:c>
      <x:c r="N7" s="52" t="n">
        <x:f>IF(L7="","",ROUND(L7*'00_Leia_Primeiro'!$B$15/'00_Leia_Primeiro'!$B$13,0))</x:f>
        <x:v>135</x:v>
      </x:c>
      <x:c r="O7" s="52" t="n">
        <x:f>IF(M7="","",ROUND(M7*'00_Leia_Primeiro'!$B$16/'00_Leia_Primeiro'!$B$14,0))</x:f>
        <x:v>112</x:v>
      </x:c>
      <x:c r="P7" s="36" t="str">
        <x:v>text=Wi-Fi</x:v>
      </x:c>
      <x:c r="Q7" s="36" t="str">
        <x:v>Screenshot + logcat do período</x:v>
      </x:c>
      <x:c r="R7" s="52" t="str">
        <x:v>Não iniciado</x:v>
      </x:c>
      <x:c r="S7" s="36" t="str"/>
      <x:c r="T7" s="36" t="str"/>
      <x:c r="U7" s="36" t="str"/>
    </x:row>
    <x:row r="8" ht="78" customHeight="1">
      <x:c r="A8" s="52" t="n">
        <x:v>4</x:v>
      </x:c>
      <x:c r="B8" s="36" t="str">
        <x:v>SIG-004</x:v>
      </x:c>
      <x:c r="C8" s="36" t="str">
        <x:v>Sinal</x:v>
      </x:c>
      <x:c r="D8" s="36" t="str">
        <x:v>Tab Canal</x:v>
      </x:c>
      <x:c r="E8" s="36" t="str">
        <x:v>Funcional</x:v>
      </x:c>
      <x:c r="F8" s="52" t="str">
        <x:v>P0</x:v>
      </x:c>
      <x:c r="G8" s="36" t="str">
        <x:v>Scan Wi-Fi disponível</x:v>
      </x:c>
      <x:c r="H8" s="36" t="str">
        <x:v>1. Selecionar Canal
2. Validar canal atual, ocupação e recomendação</x:v>
      </x:c>
      <x:c r="I8" s="36" t="str">
        <x:v>Canal/frequência correspondem ao estado real; recomendação não contradiz dados e usa linguagem simples.</x:v>
      </x:c>
      <x:c r="J8" s="36" t="str">
        <x:v>WifiChannelDiagnosticEngine</x:v>
      </x:c>
      <x:c r="K8" s="36" t="str">
        <x:v>Canal</x:v>
      </x:c>
      <x:c r="L8" s="52" t="n">
        <x:v>225</x:v>
      </x:c>
      <x:c r="M8" s="52" t="n">
        <x:v>112</x:v>
      </x:c>
      <x:c r="N8" s="52" t="n">
        <x:f>IF(L8="","",ROUND(L8*'00_Leia_Primeiro'!$B$15/'00_Leia_Primeiro'!$B$13,0))</x:f>
        <x:v>225</x:v>
      </x:c>
      <x:c r="O8" s="52" t="n">
        <x:f>IF(M8="","",ROUND(M8*'00_Leia_Primeiro'!$B$16/'00_Leia_Primeiro'!$B$14,0))</x:f>
        <x:v>112</x:v>
      </x:c>
      <x:c r="P8" s="36" t="str">
        <x:v>text=Canal</x:v>
      </x:c>
      <x:c r="Q8" s="36" t="str">
        <x:v>Screenshot + logcat do período</x:v>
      </x:c>
      <x:c r="R8" s="52" t="str">
        <x:v>Não iniciado</x:v>
      </x:c>
      <x:c r="S8" s="36" t="str"/>
      <x:c r="T8" s="36" t="str"/>
      <x:c r="U8" s="36" t="str"/>
    </x:row>
    <x:row r="9" ht="78" customHeight="1">
      <x:c r="A9" s="52" t="n">
        <x:v>5</x:v>
      </x:c>
      <x:c r="B9" s="36" t="str">
        <x:v>SIG-005</x:v>
      </x:c>
      <x:c r="C9" s="36" t="str">
        <x:v>Sinal</x:v>
      </x:c>
      <x:c r="D9" s="36" t="str">
        <x:v>Tab Móvel</x:v>
      </x:c>
      <x:c r="E9" s="36" t="str">
        <x:v>Funcional</x:v>
      </x:c>
      <x:c r="F9" s="52" t="str">
        <x:v>P1</x:v>
      </x:c>
      <x:c r="G9" s="36" t="str">
        <x:v>Rede móvel/telephony simulada</x:v>
      </x:c>
      <x:c r="H9" s="36" t="str">
        <x:v>1. Selecionar Móvel
2. Comparar tecnologia, operadora, RSRP/RSRQ/SINR se disponíveis</x:v>
      </x:c>
      <x:c r="I9" s="36" t="str">
        <x:v>Mostra dados reais por SIM; ausências são honestas; não mostra valores Wi-Fi como móveis.</x:v>
      </x:c>
      <x:c r="J9" s="36" t="str">
        <x:v>MovelSnapshot + MobileSignalDiagnosticEngine</x:v>
      </x:c>
      <x:c r="K9" s="36" t="str">
        <x:v>Móvel</x:v>
      </x:c>
      <x:c r="L9" s="52" t="n">
        <x:v>330</x:v>
      </x:c>
      <x:c r="M9" s="52" t="n">
        <x:v>112</x:v>
      </x:c>
      <x:c r="N9" s="52" t="n">
        <x:f>IF(L9="","",ROUND(L9*'00_Leia_Primeiro'!$B$15/'00_Leia_Primeiro'!$B$13,0))</x:f>
        <x:v>330</x:v>
      </x:c>
      <x:c r="O9" s="52" t="n">
        <x:f>IF(M9="","",ROUND(M9*'00_Leia_Primeiro'!$B$16/'00_Leia_Primeiro'!$B$14,0))</x:f>
        <x:v>112</x:v>
      </x:c>
      <x:c r="P9" s="36" t="str">
        <x:v>text=Móvel</x:v>
      </x:c>
      <x:c r="Q9" s="36" t="str">
        <x:v>Screenshot + logcat do período</x:v>
      </x:c>
      <x:c r="R9" s="52" t="str">
        <x:v>Não iniciado</x:v>
      </x:c>
      <x:c r="S9" s="36" t="str"/>
      <x:c r="T9" s="36" t="str"/>
      <x:c r="U9" s="36" t="str"/>
    </x:row>
    <x:row r="10" ht="78" customHeight="1">
      <x:c r="A10" s="52" t="n">
        <x:v>6</x:v>
      </x:c>
      <x:c r="B10" s="36" t="str">
        <x:v>SIG-006</x:v>
      </x:c>
      <x:c r="C10" s="36" t="str">
        <x:v>Sinal</x:v>
      </x:c>
      <x:c r="D10" s="36" t="str">
        <x:v>Filtros de banda 2.4/5/6 GHz</x:v>
      </x:c>
      <x:c r="E10" s="36" t="str">
        <x:v>Funcional</x:v>
      </x:c>
      <x:c r="F10" s="52" t="str">
        <x:v>P1</x:v>
      </x:c>
      <x:c r="G10" s="36" t="str">
        <x:v>Scan contém redes em bandas diversas</x:v>
      </x:c>
      <x:c r="H10" s="36" t="str">
        <x:v>1. Alternar chips de banda
2. Contar redes e validar frequências</x:v>
      </x:c>
      <x:c r="I10" s="36" t="str">
        <x:v>Cada filtro mostra somente a banda correspondente; 6 GHz/oculta vazios têm estado apropriado.</x:v>
      </x:c>
      <x:c r="J10" s="36" t="str">
        <x:v>C:\Users\luizg\Documents\7Agents\Claude Design\SignallQ Design System — band chips</x:v>
      </x:c>
      <x:c r="K10" s="36" t="str">
        <x:v>Chip de banda</x:v>
      </x:c>
      <x:c r="L10" s="52" t="n">
        <x:v>145</x:v>
      </x:c>
      <x:c r="M10" s="52" t="n">
        <x:v>165</x:v>
      </x:c>
      <x:c r="N10" s="52" t="n">
        <x:f>IF(L10="","",ROUND(L10*'00_Leia_Primeiro'!$B$15/'00_Leia_Primeiro'!$B$13,0))</x:f>
        <x:v>145</x:v>
      </x:c>
      <x:c r="O10" s="52" t="n">
        <x:f>IF(M10="","",ROUND(M10*'00_Leia_Primeiro'!$B$16/'00_Leia_Primeiro'!$B$14,0))</x:f>
        <x:v>165</x:v>
      </x:c>
      <x:c r="P10" s="36" t="str">
        <x:v>text~2,4|5 GHz|6 GHz</x:v>
      </x:c>
      <x:c r="Q10" s="36" t="str">
        <x:v>Screenshot + logcat do período</x:v>
      </x:c>
      <x:c r="R10" s="52" t="str">
        <x:v>Não iniciado</x:v>
      </x:c>
      <x:c r="S10" s="36" t="str"/>
      <x:c r="T10" s="36" t="str"/>
      <x:c r="U10" s="36" t="str"/>
    </x:row>
    <x:row r="11" ht="78" customHeight="1">
      <x:c r="A11" s="52" t="n">
        <x:v>7</x:v>
      </x:c>
      <x:c r="B11" s="36" t="str">
        <x:v>SIG-007</x:v>
      </x:c>
      <x:c r="C11" s="36" t="str">
        <x:v>Sinal</x:v>
      </x:c>
      <x:c r="D11" s="36" t="str">
        <x:v>Atualização automática do scanner</x:v>
      </x:c>
      <x:c r="E11" s="36" t="str">
        <x:v>Funcional</x:v>
      </x:c>
      <x:c r="F11" s="52" t="str">
        <x:v>P0</x:v>
      </x:c>
      <x:c r="G11" s="36" t="str">
        <x:v>Tela Sinal aberta e permissão concedida</x:v>
      </x:c>
      <x:c r="H11" s="36" t="str">
        <x:v>1. Registrar lista/canal atual
2. Alterar canal/SSID do AP ou massa simulada sem sair da tela
3. Aguardar ciclo de scan
4. Observar atualização</x:v>
      </x:c>
      <x:c r="I11" s="36" t="str">
        <x:v>Lista, canal e resumo atualizam automaticamente em tempo razoável; não exige fechar/reabrir ou botão manual.</x:v>
      </x:c>
      <x:c r="J11" s="36" t="str">
        <x:v>Requisito atual — Wi-Fi/canais real time</x:v>
      </x:c>
      <x:c r="K11" s="36" t="str"/>
      <x:c r="L11" s="52"/>
      <x:c r="M11" s="52"/>
      <x:c r="N11" s="52" t="str">
        <x:f>IF(L11="","",ROUND(L11*'00_Leia_Primeiro'!$B$15/'00_Leia_Primeiro'!$B$13,0))</x:f>
      </x:c>
      <x:c r="O11" s="52" t="str">
        <x:f>IF(M11="","",ROUND(M11*'00_Leia_Primeiro'!$B$16/'00_Leia_Primeiro'!$B$14,0))</x:f>
      </x:c>
      <x:c r="P11" s="36" t="str"/>
      <x:c r="Q11" s="36" t="str">
        <x:v>Screenshot + logcat do período</x:v>
      </x:c>
      <x:c r="R11" s="52" t="str">
        <x:v>Não iniciado</x:v>
      </x:c>
      <x:c r="S11" s="36" t="str"/>
      <x:c r="T11" s="36" t="str"/>
      <x:c r="U11" s="36" t="str">
        <x:v>Requer AP controlável ou injeção de snapshot</x:v>
      </x:c>
    </x:row>
    <x:row r="12" ht="78" customHeight="1">
      <x:c r="A12" s="52" t="n">
        <x:v>8</x:v>
      </x:c>
      <x:c r="B12" s="36" t="str">
        <x:v>SIG-008</x:v>
      </x:c>
      <x:c r="C12" s="36" t="str">
        <x:v>Sinal</x:v>
      </x:c>
      <x:c r="D12" s="36" t="str">
        <x:v>Consistência do canal alterado</x:v>
      </x:c>
      <x:c r="E12" s="36" t="str">
        <x:v>Funcional</x:v>
      </x:c>
      <x:c r="F12" s="52" t="str">
        <x:v>P0</x:v>
      </x:c>
      <x:c r="G12" s="36" t="str">
        <x:v>AP controlável</x:v>
      </x:c>
      <x:c r="H12" s="36" t="str">
        <x:v>1. Alterar canal do roteador
2. Aguardar atualização
3. Comparar conexão atual, aba Canal e detalhe da rede</x:v>
      </x:c>
      <x:c r="I12" s="36" t="str">
        <x:v>Todos os pontos refletem o novo canal; nenhum mantém dado stale.</x:v>
      </x:c>
      <x:c r="J12" s="36" t="str">
        <x:v>ScannerRedesWifi + SnapshotScanWifi</x:v>
      </x:c>
      <x:c r="K12" s="36" t="str"/>
      <x:c r="L12" s="52"/>
      <x:c r="M12" s="52"/>
      <x:c r="N12" s="52" t="str">
        <x:f>IF(L12="","",ROUND(L12*'00_Leia_Primeiro'!$B$15/'00_Leia_Primeiro'!$B$13,0))</x:f>
      </x:c>
      <x:c r="O12" s="52" t="str">
        <x:f>IF(M12="","",ROUND(M12*'00_Leia_Primeiro'!$B$16/'00_Leia_Primeiro'!$B$14,0))</x:f>
      </x:c>
      <x:c r="P12" s="36" t="str"/>
      <x:c r="Q12" s="36" t="str">
        <x:v>Screenshot + logcat do período</x:v>
      </x:c>
      <x:c r="R12" s="52" t="str">
        <x:v>Não iniciado</x:v>
      </x:c>
      <x:c r="S12" s="36" t="str"/>
      <x:c r="T12" s="36" t="str"/>
      <x:c r="U12" s="36" t="str"/>
    </x:row>
    <x:row r="13" ht="78" customHeight="1">
      <x:c r="A13" s="52" t="n">
        <x:v>9</x:v>
      </x:c>
      <x:c r="B13" s="36" t="str">
        <x:v>SIG-009</x:v>
      </x:c>
      <x:c r="C13" s="36" t="str">
        <x:v>Sinal</x:v>
      </x:c>
      <x:c r="D13" s="36" t="str">
        <x:v>Rede atual destacada</x:v>
      </x:c>
      <x:c r="E13" s="36" t="str">
        <x:v>Design</x:v>
      </x:c>
      <x:c r="F13" s="52" t="str">
        <x:v>P1</x:v>
      </x:c>
      <x:c r="G13" s="36" t="str">
        <x:v>Wi-Fi conectado e redes vizinhas presentes</x:v>
      </x:c>
      <x:c r="H13" s="36" t="str">
        <x:v>1. Abrir lista de redes
2. Localizar SSID conectado</x:v>
      </x:c>
      <x:c r="I13" s="36" t="str">
        <x:v>Rede atual é distinguível sem depender só de cor; intensidade/segurança/canal visíveis.</x:v>
      </x:c>
      <x:c r="J13" s="36" t="str">
        <x:v>C:\Users\luizg\Documents\7Agents\Claude Design\SignallQ Design System — SinalScreen current network</x:v>
      </x:c>
      <x:c r="K13" s="36" t="str"/>
      <x:c r="L13" s="52"/>
      <x:c r="M13" s="52"/>
      <x:c r="N13" s="52" t="str">
        <x:f>IF(L13="","",ROUND(L13*'00_Leia_Primeiro'!$B$15/'00_Leia_Primeiro'!$B$13,0))</x:f>
      </x:c>
      <x:c r="O13" s="52" t="str">
        <x:f>IF(M13="","",ROUND(M13*'00_Leia_Primeiro'!$B$16/'00_Leia_Primeiro'!$B$14,0))</x:f>
      </x:c>
      <x:c r="P13" s="36" t="str"/>
      <x:c r="Q13" s="36" t="str">
        <x:v>Screenshot + logcat do período</x:v>
      </x:c>
      <x:c r="R13" s="52" t="str">
        <x:v>Não iniciado</x:v>
      </x:c>
      <x:c r="S13" s="36" t="str"/>
      <x:c r="T13" s="36" t="str"/>
      <x:c r="U13" s="36" t="str"/>
    </x:row>
    <x:row r="14" ht="78" customHeight="1">
      <x:c r="A14" s="52" t="n">
        <x:v>10</x:v>
      </x:c>
      <x:c r="B14" s="36" t="str">
        <x:v>SIG-010</x:v>
      </x:c>
      <x:c r="C14" s="36" t="str">
        <x:v>Sinal</x:v>
      </x:c>
      <x:c r="D14" s="36" t="str">
        <x:v>Detalhe da rede</x:v>
      </x:c>
      <x:c r="E14" s="36" t="str">
        <x:v>Funcional</x:v>
      </x:c>
      <x:c r="F14" s="52" t="str">
        <x:v>P1</x:v>
      </x:c>
      <x:c r="G14" s="36" t="str">
        <x:v>Lista de redes visível</x:v>
      </x:c>
      <x:c r="H14" s="36" t="str">
        <x:v>1. Tocar em uma rede
2. Validar NetworkDetailSheet
3. Fechar</x:v>
      </x:c>
      <x:c r="I14" s="36" t="str">
        <x:v>Mostra SSID, banda, canal, sinal, segurança e informações disponíveis; back/scrim fecha sem mudar filtro.</x:v>
      </x:c>
      <x:c r="J14" s="36" t="str">
        <x:v>C:\Users\luizg\Documents\7Agents\Claude Design\SignallQ Design System — NetworkDetailSheet</x:v>
      </x:c>
      <x:c r="K14" s="36" t="str">
        <x:v>Item de rede</x:v>
      </x:c>
      <x:c r="L14" s="52" t="n">
        <x:v>195</x:v>
      </x:c>
      <x:c r="M14" s="52" t="n">
        <x:v>365</x:v>
      </x:c>
      <x:c r="N14" s="52" t="n">
        <x:f>IF(L14="","",ROUND(L14*'00_Leia_Primeiro'!$B$15/'00_Leia_Primeiro'!$B$13,0))</x:f>
        <x:v>195</x:v>
      </x:c>
      <x:c r="O14" s="52" t="n">
        <x:f>IF(M14="","",ROUND(M14*'00_Leia_Primeiro'!$B$16/'00_Leia_Primeiro'!$B$14,0))</x:f>
        <x:v>365</x:v>
      </x:c>
      <x:c r="P14" s="36" t="str">
        <x:v>text~dBm|GHz</x:v>
      </x:c>
      <x:c r="Q14" s="36" t="str">
        <x:v>Screenshot + logcat do período</x:v>
      </x:c>
      <x:c r="R14" s="52" t="str">
        <x:v>Não iniciado</x:v>
      </x:c>
      <x:c r="S14" s="36" t="str"/>
      <x:c r="T14" s="36" t="str"/>
      <x:c r="U14" s="36" t="str"/>
    </x:row>
    <x:row r="15" ht="78" customHeight="1">
      <x:c r="A15" s="52" t="n">
        <x:v>11</x:v>
      </x:c>
      <x:c r="B15" s="36" t="str">
        <x:v>SIG-011</x:v>
      </x:c>
      <x:c r="C15" s="36" t="str">
        <x:v>Sinal</x:v>
      </x:c>
      <x:c r="D15" s="36" t="str">
        <x:v>Detalhe do canal</x:v>
      </x:c>
      <x:c r="E15" s="36" t="str">
        <x:v>Funcional</x:v>
      </x:c>
      <x:c r="F15" s="52" t="str">
        <x:v>P1</x:v>
      </x:c>
      <x:c r="G15" s="36" t="str">
        <x:v>Aba Canal com dados</x:v>
      </x:c>
      <x:c r="H15" s="36" t="str">
        <x:v>1. Tocar no card/gráfico de canal
2. Validar ChannelDetailSheet</x:v>
      </x:c>
      <x:c r="I15" s="36" t="str">
        <x:v>Explica ocupação/interferência e recomendação com valores coerentes; não usa jargão sem explicação.</x:v>
      </x:c>
      <x:c r="J15" s="36" t="str">
        <x:v>C:\Users\luizg\Documents\7Agents\Claude Design\SignallQ Design System — ChannelDetailSheet</x:v>
      </x:c>
      <x:c r="K15" s="36" t="str">
        <x:v>Card canal</x:v>
      </x:c>
      <x:c r="L15" s="52" t="n">
        <x:v>195</x:v>
      </x:c>
      <x:c r="M15" s="52" t="n">
        <x:v>390</x:v>
      </x:c>
      <x:c r="N15" s="52" t="n">
        <x:f>IF(L15="","",ROUND(L15*'00_Leia_Primeiro'!$B$15/'00_Leia_Primeiro'!$B$13,0))</x:f>
        <x:v>195</x:v>
      </x:c>
      <x:c r="O15" s="52" t="n">
        <x:f>IF(M15="","",ROUND(M15*'00_Leia_Primeiro'!$B$16/'00_Leia_Primeiro'!$B$14,0))</x:f>
        <x:v>390</x:v>
      </x:c>
      <x:c r="P15" s="36" t="str"/>
      <x:c r="Q15" s="36" t="str">
        <x:v>Screenshot + logcat do período</x:v>
      </x:c>
      <x:c r="R15" s="52" t="str">
        <x:v>Não iniciado</x:v>
      </x:c>
      <x:c r="S15" s="36" t="str"/>
      <x:c r="T15" s="36" t="str"/>
      <x:c r="U15" s="36" t="str"/>
    </x:row>
    <x:row r="16" ht="78" customHeight="1">
      <x:c r="A16" s="52" t="n">
        <x:v>12</x:v>
      </x:c>
      <x:c r="B16" s="36" t="str">
        <x:v>SIG-012</x:v>
      </x:c>
      <x:c r="C16" s="36" t="str">
        <x:v>Sinal</x:v>
      </x:c>
      <x:c r="D16" s="36" t="str">
        <x:v>Detalhe Mesh/AP</x:v>
      </x:c>
      <x:c r="E16" s="36" t="str">
        <x:v>Funcional</x:v>
      </x:c>
      <x:c r="F16" s="52" t="str">
        <x:v>P1</x:v>
      </x:c>
      <x:c r="G16" s="36" t="str">
        <x:v>Rede classificada como mesh/AP</x:v>
      </x:c>
      <x:c r="H16" s="36" t="str">
        <x:v>1. Tocar no nó/AP
2. Validar MeshApSheet</x:v>
      </x:c>
      <x:c r="I16" s="36" t="str">
        <x:v>Papel e confiança são apresentados; sem afirmar roteador central com baixa confiança.</x:v>
      </x:c>
      <x:c r="J16" s="36" t="str">
        <x:v>C:\Users\luizg\Documents\7Agents\Claude Design\SignallQ Design System — MeshApSheet + TopologiaRedeEngine</x:v>
      </x:c>
      <x:c r="K16" s="36" t="str">
        <x:v>Nó mesh/AP</x:v>
      </x:c>
      <x:c r="L16" s="52" t="n">
        <x:v>195</x:v>
      </x:c>
      <x:c r="M16" s="52" t="n">
        <x:v>520</x:v>
      </x:c>
      <x:c r="N16" s="52" t="n">
        <x:f>IF(L16="","",ROUND(L16*'00_Leia_Primeiro'!$B$15/'00_Leia_Primeiro'!$B$13,0))</x:f>
        <x:v>195</x:v>
      </x:c>
      <x:c r="O16" s="52" t="n">
        <x:f>IF(M16="","",ROUND(M16*'00_Leia_Primeiro'!$B$16/'00_Leia_Primeiro'!$B$14,0))</x:f>
        <x:v>520</x:v>
      </x:c>
      <x:c r="P16" s="36" t="str"/>
      <x:c r="Q16" s="36" t="str">
        <x:v>Screenshot + logcat do período</x:v>
      </x:c>
      <x:c r="R16" s="52" t="str">
        <x:v>Não iniciado</x:v>
      </x:c>
      <x:c r="S16" s="36" t="str"/>
      <x:c r="T16" s="36" t="str"/>
      <x:c r="U16" s="36" t="str"/>
    </x:row>
    <x:row r="17" ht="78" customHeight="1">
      <x:c r="A17" s="52" t="n">
        <x:v>13</x:v>
      </x:c>
      <x:c r="B17" s="36" t="str">
        <x:v>SIG-013</x:v>
      </x:c>
      <x:c r="C17" s="36" t="str">
        <x:v>Sinal</x:v>
      </x:c>
      <x:c r="D17" s="36" t="str">
        <x:v>Topologia igual à Home</x:v>
      </x:c>
      <x:c r="E17" s="36" t="str">
        <x:v>Funcional</x:v>
      </x:c>
      <x:c r="F17" s="52" t="str">
        <x:v>P0</x:v>
      </x:c>
      <x:c r="G17" s="36" t="str">
        <x:v>Mesmo snapshot estabilizado</x:v>
      </x:c>
      <x:c r="H17" s="36" t="str">
        <x:v>1. Comparar classificação da Home e Sinal
2. Abrir detalhes de ambos</x:v>
      </x:c>
      <x:c r="I17" s="36" t="str">
        <x:v>Papel, incerteza e tipo não entram em conflito.</x:v>
      </x:c>
      <x:c r="J17" s="36" t="str">
        <x:v>Commit f8553f7625805479823c1dc672d52642a9be2ac3</x:v>
      </x:c>
      <x:c r="K17" s="36" t="str"/>
      <x:c r="L17" s="52"/>
      <x:c r="M17" s="52"/>
      <x:c r="N17" s="52" t="str">
        <x:f>IF(L17="","",ROUND(L17*'00_Leia_Primeiro'!$B$15/'00_Leia_Primeiro'!$B$13,0))</x:f>
      </x:c>
      <x:c r="O17" s="52" t="str">
        <x:f>IF(M17="","",ROUND(M17*'00_Leia_Primeiro'!$B$16/'00_Leia_Primeiro'!$B$14,0))</x:f>
      </x:c>
      <x:c r="P17" s="36" t="str"/>
      <x:c r="Q17" s="36" t="str">
        <x:v>Screenshot + logcat do período</x:v>
      </x:c>
      <x:c r="R17" s="52" t="str">
        <x:v>Não iniciado</x:v>
      </x:c>
      <x:c r="S17" s="36" t="str"/>
      <x:c r="T17" s="36" t="str"/>
      <x:c r="U17" s="36" t="str"/>
    </x:row>
    <x:row r="18" ht="78" customHeight="1">
      <x:c r="A18" s="52" t="n">
        <x:v>14</x:v>
      </x:c>
      <x:c r="B18" s="36" t="str">
        <x:v>SIG-014</x:v>
      </x:c>
      <x:c r="C18" s="36" t="str">
        <x:v>Sinal</x:v>
      </x:c>
      <x:c r="D18" s="36" t="str">
        <x:v>Permissão de localização negada</x:v>
      </x:c>
      <x:c r="E18" s="36" t="str">
        <x:v>Permissões</x:v>
      </x:c>
      <x:c r="F18" s="52" t="str">
        <x:v>P0</x:v>
      </x:c>
      <x:c r="G18" s="36" t="str">
        <x:v>ACCESS_FINE_LOCATION revogada</x:v>
      </x:c>
      <x:c r="H18" s="36" t="str">
        <x:v>1. Abrir Sinal
2. Tocar no CTA de conceder/ativar
3. Observar destino</x:v>
      </x:c>
      <x:c r="I18" s="36" t="str">
        <x:v>Estado contextual explica por quê; ação abre configurações do app conforme fluxo atual; não há pedido repetitivo em loop.</x:v>
      </x:c>
      <x:c r="J18" s="36" t="str">
        <x:v>MainActivity — solicitarPermissaoLocalizacaoContextual abre ajustes</x:v>
      </x:c>
      <x:c r="K18" s="36" t="str">
        <x:v>Permitir localização</x:v>
      </x:c>
      <x:c r="L18" s="52" t="n">
        <x:v>195</x:v>
      </x:c>
      <x:c r="M18" s="52" t="n">
        <x:v>520</x:v>
      </x:c>
      <x:c r="N18" s="52" t="n">
        <x:f>IF(L18="","",ROUND(L18*'00_Leia_Primeiro'!$B$15/'00_Leia_Primeiro'!$B$13,0))</x:f>
        <x:v>195</x:v>
      </x:c>
      <x:c r="O18" s="52" t="n">
        <x:f>IF(M18="","",ROUND(M18*'00_Leia_Primeiro'!$B$16/'00_Leia_Primeiro'!$B$14,0))</x:f>
        <x:v>520</x:v>
      </x:c>
      <x:c r="P18" s="36" t="str">
        <x:v>text~localização|Permitir</x:v>
      </x:c>
      <x:c r="Q18" s="36" t="str">
        <x:v>Screenshot + logcat do período</x:v>
      </x:c>
      <x:c r="R18" s="52" t="str">
        <x:v>Não iniciado</x:v>
      </x:c>
      <x:c r="S18" s="36" t="str"/>
      <x:c r="T18" s="36" t="str"/>
      <x:c r="U18" s="36" t="str"/>
    </x:row>
    <x:row r="19" ht="78" customHeight="1">
      <x:c r="A19" s="52" t="n">
        <x:v>15</x:v>
      </x:c>
      <x:c r="B19" s="36" t="str">
        <x:v>SIG-015</x:v>
      </x:c>
      <x:c r="C19" s="36" t="str">
        <x:v>Sinal</x:v>
      </x:c>
      <x:c r="D19" s="36" t="str">
        <x:v>Retorno das configurações com permissão</x:v>
      </x:c>
      <x:c r="E19" s="36" t="str">
        <x:v>Permissões</x:v>
      </x:c>
      <x:c r="F19" s="52" t="str">
        <x:v>P0</x:v>
      </x:c>
      <x:c r="G19" s="36" t="str">
        <x:v>Tela de configurações aberta pelo caso anterior</x:v>
      </x:c>
      <x:c r="H19" s="36" t="str">
        <x:v>1. Conceder localização
2. Voltar ao app
3. Aguardar</x:v>
      </x:c>
      <x:c r="I19" s="36" t="str">
        <x:v>Rotinas de rede iniciam e a tela se atualiza sem reiniciar manualmente.</x:v>
      </x:c>
      <x:c r="J19" s="36" t="str">
        <x:v>MainActivity onResume/iniciarRotinasNaoSpeedtest</x:v>
      </x:c>
      <x:c r="K19" s="36" t="str"/>
      <x:c r="L19" s="52"/>
      <x:c r="M19" s="52"/>
      <x:c r="N19" s="52" t="str">
        <x:f>IF(L19="","",ROUND(L19*'00_Leia_Primeiro'!$B$15/'00_Leia_Primeiro'!$B$13,0))</x:f>
      </x:c>
      <x:c r="O19" s="52" t="str">
        <x:f>IF(M19="","",ROUND(M19*'00_Leia_Primeiro'!$B$16/'00_Leia_Primeiro'!$B$14,0))</x:f>
      </x:c>
      <x:c r="P19" s="36" t="str"/>
      <x:c r="Q19" s="36" t="str">
        <x:v>Screenshot + logcat do período</x:v>
      </x:c>
      <x:c r="R19" s="52" t="str">
        <x:v>Não iniciado</x:v>
      </x:c>
      <x:c r="S19" s="36" t="str"/>
      <x:c r="T19" s="36" t="str"/>
      <x:c r="U19" s="36" t="str"/>
    </x:row>
    <x:row r="20" ht="78" customHeight="1">
      <x:c r="A20" s="52" t="n">
        <x:v>16</x:v>
      </x:c>
      <x:c r="B20" s="36" t="str">
        <x:v>SIG-016</x:v>
      </x:c>
      <x:c r="C20" s="36" t="str">
        <x:v>Sinal</x:v>
      </x:c>
      <x:c r="D20" s="36" t="str">
        <x:v>Permissão de telefonia contextual</x:v>
      </x:c>
      <x:c r="E20" s="36" t="str">
        <x:v>Permissões</x:v>
      </x:c>
      <x:c r="F20" s="52" t="str">
        <x:v>P1</x:v>
      </x:c>
      <x:c r="G20" s="36" t="str">
        <x:v>READ_PHONE_STATE revogada</x:v>
      </x:c>
      <x:c r="H20" s="36" t="str">
        <x:v>1. Abrir tab Móvel
2. Acionar permissão
3. Conceder nas configurações e voltar</x:v>
      </x:c>
      <x:c r="I20" s="36" t="str">
        <x:v>Contexto claro; abre ajustes; após concessão, monitor móvel inicia e dados aparecem se disponíveis.</x:v>
      </x:c>
      <x:c r="J20" s="36" t="str">
        <x:v>MainActivity solicitarPermissaoTelefoniaContextual</x:v>
      </x:c>
      <x:c r="K20" s="36" t="str"/>
      <x:c r="L20" s="52"/>
      <x:c r="M20" s="52"/>
      <x:c r="N20" s="52" t="str">
        <x:f>IF(L20="","",ROUND(L20*'00_Leia_Primeiro'!$B$15/'00_Leia_Primeiro'!$B$13,0))</x:f>
      </x:c>
      <x:c r="O20" s="52" t="str">
        <x:f>IF(M20="","",ROUND(M20*'00_Leia_Primeiro'!$B$16/'00_Leia_Primeiro'!$B$14,0))</x:f>
      </x:c>
      <x:c r="P20" s="36" t="str"/>
      <x:c r="Q20" s="36" t="str">
        <x:v>Screenshot + logcat do período</x:v>
      </x:c>
      <x:c r="R20" s="52" t="str">
        <x:v>Não iniciado</x:v>
      </x:c>
      <x:c r="S20" s="36" t="str"/>
      <x:c r="T20" s="36" t="str"/>
      <x:c r="U20" s="36" t="str"/>
    </x:row>
    <x:row r="21" ht="78" customHeight="1">
      <x:c r="A21" s="52" t="n">
        <x:v>17</x:v>
      </x:c>
      <x:c r="B21" s="36" t="str">
        <x:v>SIG-017</x:v>
      </x:c>
      <x:c r="C21" s="36" t="str">
        <x:v>Sinal</x:v>
      </x:c>
      <x:c r="D21" s="36" t="str">
        <x:v>Estado sem Wi-Fi</x:v>
      </x:c>
      <x:c r="E21" s="36" t="str">
        <x:v>Erro</x:v>
      </x:c>
      <x:c r="F21" s="52" t="str">
        <x:v>P0</x:v>
      </x:c>
      <x:c r="G21" s="36" t="str">
        <x:v>Wi-Fi desligado ou conectado por móvel</x:v>
      </x:c>
      <x:c r="H21" s="36" t="str">
        <x:v>1. Abrir Sinal &gt; Wi-Fi/Canal</x:v>
      </x:c>
      <x:c r="I21" s="36" t="str">
        <x:v>Mensagem orienta ativar/conectar Wi-Fi; sem lista antiga ou crash.</x:v>
      </x:c>
      <x:c r="J21" s="36" t="str">
        <x:v>SnapshotRede estado conexão</x:v>
      </x:c>
      <x:c r="K21" s="36" t="str"/>
      <x:c r="L21" s="52"/>
      <x:c r="M21" s="52"/>
      <x:c r="N21" s="52" t="str">
        <x:f>IF(L21="","",ROUND(L21*'00_Leia_Primeiro'!$B$15/'00_Leia_Primeiro'!$B$13,0))</x:f>
      </x:c>
      <x:c r="O21" s="52" t="str">
        <x:f>IF(M21="","",ROUND(M21*'00_Leia_Primeiro'!$B$16/'00_Leia_Primeiro'!$B$14,0))</x:f>
      </x:c>
      <x:c r="P21" s="36" t="str"/>
      <x:c r="Q21" s="36" t="str">
        <x:v>Screenshot + logcat do período</x:v>
      </x:c>
      <x:c r="R21" s="52" t="str">
        <x:v>Não iniciado</x:v>
      </x:c>
      <x:c r="S21" s="36" t="str"/>
      <x:c r="T21" s="36" t="str"/>
      <x:c r="U21" s="36" t="str"/>
    </x:row>
    <x:row r="22" ht="78" customHeight="1">
      <x:c r="A22" s="52" t="n">
        <x:v>18</x:v>
      </x:c>
      <x:c r="B22" s="36" t="str">
        <x:v>SIG-018</x:v>
      </x:c>
      <x:c r="C22" s="36" t="str">
        <x:v>Sinal</x:v>
      </x:c>
      <x:c r="D22" s="36" t="str">
        <x:v>Ordenação e redes ocultas</x:v>
      </x:c>
      <x:c r="E22" s="36" t="str">
        <x:v>Funcional</x:v>
      </x:c>
      <x:c r="F22" s="52" t="str">
        <x:v>P2</x:v>
      </x:c>
      <x:c r="G22" s="36" t="str">
        <x:v>Múltiplas redes e SSID oculto</x:v>
      </x:c>
      <x:c r="H22" s="36" t="str">
        <x:v>1. Registrar RSSI das redes
2. Verificar ordem
3. Abrir rede oculta</x:v>
      </x:c>
      <x:c r="I22" s="36" t="str">
        <x:v>Ordenação segue regra do produto (tipicamente sinal/relevância); ocultas têm label seguro e não quebram agrupamento.</x:v>
      </x:c>
      <x:c r="J22" s="36" t="str">
        <x:v>GrupoRedeWifi / RedeVizinha</x:v>
      </x:c>
      <x:c r="K22" s="36" t="str"/>
      <x:c r="L22" s="52"/>
      <x:c r="M22" s="52"/>
      <x:c r="N22" s="52" t="str">
        <x:f>IF(L22="","",ROUND(L22*'00_Leia_Primeiro'!$B$15/'00_Leia_Primeiro'!$B$13,0))</x:f>
      </x:c>
      <x:c r="O22" s="52" t="str">
        <x:f>IF(M22="","",ROUND(M22*'00_Leia_Primeiro'!$B$16/'00_Leia_Primeiro'!$B$14,0))</x:f>
      </x:c>
      <x:c r="P22" s="36" t="str"/>
      <x:c r="Q22" s="36" t="str">
        <x:v>Screenshot + logcat do período</x:v>
      </x:c>
      <x:c r="R22" s="52" t="str">
        <x:v>Não iniciado</x:v>
      </x:c>
      <x:c r="S22" s="36" t="str"/>
      <x:c r="T22" s="36" t="str"/>
      <x:c r="U22" s="36" t="str"/>
    </x:row>
    <x:row r="23" ht="78" customHeight="1">
      <x:c r="A23" s="52" t="n">
        <x:v>19</x:v>
      </x:c>
      <x:c r="B23" s="36" t="str">
        <x:v>SIG-019</x:v>
      </x:c>
      <x:c r="C23" s="36" t="str">
        <x:v>Sinal</x:v>
      </x:c>
      <x:c r="D23" s="36" t="str">
        <x:v>Estados loading/erro/retry</x:v>
      </x:c>
      <x:c r="E23" s="36" t="str">
        <x:v>Erro</x:v>
      </x:c>
      <x:c r="F23" s="52" t="str">
        <x:v>P1</x:v>
      </x:c>
      <x:c r="G23" s="36" t="str">
        <x:v>Forçar falha/timeout de scan</x:v>
      </x:c>
      <x:c r="H23" s="36" t="str">
        <x:v>1. Abrir tela
2. Observar loading
3. Aguardar erro
4. Acionar retry se disponível</x:v>
      </x:c>
      <x:c r="I23" s="36" t="str">
        <x:v>Loading não fica infinito; erro explica e permite recuperação; logs não mostram exceção não tratada.</x:v>
      </x:c>
      <x:c r="J23" s="36" t="str">
        <x:v>ScannerRedesWifi</x:v>
      </x:c>
      <x:c r="K23" s="36" t="str"/>
      <x:c r="L23" s="52"/>
      <x:c r="M23" s="52"/>
      <x:c r="N23" s="52" t="str">
        <x:f>IF(L23="","",ROUND(L23*'00_Leia_Primeiro'!$B$15/'00_Leia_Primeiro'!$B$13,0))</x:f>
      </x:c>
      <x:c r="O23" s="52" t="str">
        <x:f>IF(M23="","",ROUND(M23*'00_Leia_Primeiro'!$B$16/'00_Leia_Primeiro'!$B$14,0))</x:f>
      </x:c>
      <x:c r="P23" s="36" t="str"/>
      <x:c r="Q23" s="36" t="str">
        <x:v>Screenshot + logcat do período</x:v>
      </x:c>
      <x:c r="R23" s="52" t="str">
        <x:v>Não iniciado</x:v>
      </x:c>
      <x:c r="S23" s="36" t="str"/>
      <x:c r="T23" s="36" t="str"/>
      <x:c r="U23" s="36" t="str"/>
    </x:row>
    <x:row r="24" ht="78" customHeight="1">
      <x:c r="A24" s="52" t="n">
        <x:v>20</x:v>
      </x:c>
      <x:c r="B24" s="36" t="str">
        <x:v>SIG-020</x:v>
      </x:c>
      <x:c r="C24" s="36" t="str">
        <x:v>Sinal</x:v>
      </x:c>
      <x:c r="D24" s="36" t="str">
        <x:v>Tema e contraste do gráfico</x:v>
      </x:c>
      <x:c r="E24" s="36" t="str">
        <x:v>Design</x:v>
      </x:c>
      <x:c r="F24" s="52" t="str">
        <x:v>P1</x:v>
      </x:c>
      <x:c r="G24" s="36" t="str">
        <x:v>Dados de canal/sinal disponíveis</x:v>
      </x:c>
      <x:c r="H24" s="36" t="str">
        <x:v>1. Comparar light/dark
2. Checar linhas, labels e cores</x:v>
      </x:c>
      <x:c r="I24" s="36" t="str">
        <x:v>Gráficos e barras mantêm contraste; estado não depende apenas de vermelho/verde.</x:v>
      </x:c>
      <x:c r="J24" s="36" t="str">
        <x:v>C:\Users\luizg\Documents\7Agents\Claude Design\SignallQ Design System — theme.js</x:v>
      </x:c>
      <x:c r="K24" s="36" t="str"/>
      <x:c r="L24" s="52"/>
      <x:c r="M24" s="52"/>
      <x:c r="N24" s="52" t="str">
        <x:f>IF(L24="","",ROUND(L24*'00_Leia_Primeiro'!$B$15/'00_Leia_Primeiro'!$B$13,0))</x:f>
      </x:c>
      <x:c r="O24" s="52" t="str">
        <x:f>IF(M24="","",ROUND(M24*'00_Leia_Primeiro'!$B$16/'00_Leia_Primeiro'!$B$14,0))</x:f>
      </x:c>
      <x:c r="P24" s="36" t="str"/>
      <x:c r="Q24" s="36" t="str">
        <x:v>Screenshot + logcat do período</x:v>
      </x:c>
      <x:c r="R24" s="52" t="str">
        <x:v>Não iniciado</x:v>
      </x:c>
      <x:c r="S24" s="36" t="str"/>
      <x:c r="T24" s="36" t="str"/>
      <x:c r="U24" s="36" t="str"/>
    </x:row>
    <x:row r="25" ht="78" customHeight="1">
      <x:c r="A25" s="52" t="n">
        <x:v>21</x:v>
      </x:c>
      <x:c r="B25" s="36" t="str">
        <x:v>SIG-021</x:v>
      </x:c>
      <x:c r="C25" s="36" t="str">
        <x:v>Sinal</x:v>
      </x:c>
      <x:c r="D25" s="36" t="str">
        <x:v>Sheets preservam contexto</x:v>
      </x:c>
      <x:c r="E25" s="36" t="str">
        <x:v>Navegação</x:v>
      </x:c>
      <x:c r="F25" s="52" t="str">
        <x:v>P1</x:v>
      </x:c>
      <x:c r="G25" s="36" t="str">
        <x:v>Filtro/tab não padrão selecionado</x:v>
      </x:c>
      <x:c r="H25" s="36" t="str">
        <x:v>1. Abrir e fechar detalhe
2. Pressionar back</x:v>
      </x:c>
      <x:c r="I25" s="36" t="str">
        <x:v>Retorna à mesma tab, filtro e posição de scroll.</x:v>
      </x:c>
      <x:c r="J25" s="36" t="str">
        <x:v>Compose remember state</x:v>
      </x:c>
      <x:c r="K25" s="36" t="str"/>
      <x:c r="L25" s="52"/>
      <x:c r="M25" s="52"/>
      <x:c r="N25" s="52" t="str">
        <x:f>IF(L25="","",ROUND(L25*'00_Leia_Primeiro'!$B$15/'00_Leia_Primeiro'!$B$13,0))</x:f>
      </x:c>
      <x:c r="O25" s="52" t="str">
        <x:f>IF(M25="","",ROUND(M25*'00_Leia_Primeiro'!$B$16/'00_Leia_Primeiro'!$B$14,0))</x:f>
      </x:c>
      <x:c r="P25" s="36" t="str"/>
      <x:c r="Q25" s="36" t="str">
        <x:v>Screenshot + logcat do período</x:v>
      </x:c>
      <x:c r="R25" s="52" t="str">
        <x:v>Não iniciado</x:v>
      </x:c>
      <x:c r="S25" s="36" t="str"/>
      <x:c r="T25" s="36" t="str"/>
      <x:c r="U25" s="36" t="str"/>
    </x:row>
  </x:sheetData>
  <x:mergeCells>
    <x:mergeCell ref="A1:U1"/>
    <x:mergeCell ref="A2:U2"/>
  </x:mergeCells>
  <x:conditionalFormatting sqref="R5:R25">
    <x:cfRule type="expression" dxfId="21" priority="1">
      <x:formula>R5="Passou"</x:formula>
    </x:cfRule>
    <x:cfRule type="expression" dxfId="22" priority="2">
      <x:formula>R5="Falhou"</x:formula>
    </x:cfRule>
    <x:cfRule type="expression" dxfId="23" priority="3">
      <x:formula>R5="Bloqueado"</x:formula>
    </x:cfRule>
    <x:cfRule type="expression" dxfId="24" priority="4">
      <x:formula>R5="Em execução"</x:formula>
    </x:cfRule>
    <x:cfRule type="expression" dxfId="25" priority="5">
      <x:formula>R5="N/A"</x:formula>
    </x:cfRule>
  </x:conditionalFormatting>
  <x:conditionalFormatting sqref="F5:F25">
    <x:cfRule type="expression" dxfId="26" priority="6">
      <x:formula>F5="P0"</x:formula>
    </x:cfRule>
    <x:cfRule type="expression" dxfId="27" priority="7">
      <x:formula>F5="P1"</x:formula>
    </x:cfRule>
  </x:conditionalFormatting>
  <x:dataValidations count="2">
    <x:dataValidation type="list" sqref="F5:F25">
      <x:formula1>"P0,P1,P2,P3"</x:formula1>
    </x:dataValidation>
    <x:dataValidation type="list" sqref="R5:R25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cf0ba92e7c423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7" hidden="0" customWidth="1"/>
    <x:col min="5" max="5" width="16" hidden="0" customWidth="1"/>
    <x:col min="6" max="6" width="10" hidden="0" customWidth="1"/>
    <x:col min="7" max="7" width="34" hidden="0" customWidth="1"/>
    <x:col min="8" max="8" width="48" hidden="0" customWidth="1"/>
    <x:col min="9" max="9" width="48" hidden="0" customWidth="1"/>
    <x:col min="10" max="10" width="42" hidden="0" customWidth="1"/>
    <x:col min="11" max="11" width="24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32" hidden="0" customWidth="1"/>
    <x:col min="17" max="17" width="28" hidden="0" customWidth="1"/>
    <x:col min="18" max="18" width="16" hidden="0" customWidth="1"/>
    <x:col min="19" max="19" width="20" hidden="0" customWidth="1"/>
    <x:col min="20" max="20" width="34" hidden="0" customWidth="1"/>
    <x:col min="21" max="21" width="27" hidden="0" customWidth="1"/>
  </x:cols>
  <x:sheetData>
    <x:row r="1" ht="32" customHeight="1">
      <x:c r="A1" s="5" t="str">
        <x:v>Histórico, filtros, detalhes e exportação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3" t="str">
        <x:v>Execute em ordem. Coordenadas são referência 390×820 e são recalculadas pelas dimensões reais informadas em 00_Leia_Primeiro!B15:B16. Use seletor semântico antes de tap por coordenada.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</x:row>
    <x:row r="4" ht="44" customHeight="1">
      <x:c r="A4" s="28" t="str">
        <x:v>Ordem</x:v>
      </x:c>
      <x:c r="B4" s="28" t="str">
        <x:v>ID</x:v>
      </x:c>
      <x:c r="C4" s="28" t="str">
        <x:v>Tela / componente</x:v>
      </x:c>
      <x:c r="D4" s="28" t="str">
        <x:v>Estado / cenário</x:v>
      </x:c>
      <x:c r="E4" s="28" t="str">
        <x:v>Categoria</x:v>
      </x:c>
      <x:c r="F4" s="28" t="str">
        <x:v>Prioridade</x:v>
      </x:c>
      <x:c r="G4" s="28" t="str">
        <x:v>Pré-condições</x:v>
      </x:c>
      <x:c r="H4" s="28" t="str">
        <x:v>Passo a passo</x:v>
      </x:c>
      <x:c r="I4" s="28" t="str">
        <x:v>Resultado esperado</x:v>
      </x:c>
      <x:c r="J4" s="28" t="str">
        <x:v>Referência design / código</x:v>
      </x:c>
      <x:c r="K4" s="28" t="str">
        <x:v>Ação / alvo</x:v>
      </x:c>
      <x:c r="L4" s="28" t="str">
        <x:v>X base 390</x:v>
      </x:c>
      <x:c r="M4" s="28" t="str">
        <x:v>Y base 820</x:v>
      </x:c>
      <x:c r="N4" s="28" t="str">
        <x:v>X device</x:v>
      </x:c>
      <x:c r="O4" s="28" t="str">
        <x:v>Y device</x:v>
      </x:c>
      <x:c r="P4" s="28" t="str">
        <x:v>Seletor preferencial</x:v>
      </x:c>
      <x:c r="Q4" s="28" t="str">
        <x:v>Evidência esperada</x:v>
      </x:c>
      <x:c r="R4" s="28" t="str">
        <x:v>Status</x:v>
      </x:c>
      <x:c r="S4" s="28" t="str">
        <x:v>Bug GitHub</x:v>
      </x:c>
      <x:c r="T4" s="28" t="str">
        <x:v>Observações</x:v>
      </x:c>
      <x:c r="U4" s="28" t="str">
        <x:v>Bloqueador / dependência</x:v>
      </x:c>
    </x:row>
    <x:row r="5" ht="78" customHeight="1">
      <x:c r="A5" s="52" t="n">
        <x:v>1</x:v>
      </x:c>
      <x:c r="B5" s="36" t="str">
        <x:v>HIS-001</x:v>
      </x:c>
      <x:c r="C5" s="36" t="str">
        <x:v>Histórico</x:v>
      </x:c>
      <x:c r="D5" s="36" t="str">
        <x:v>Tela com dados — To-Be</x:v>
      </x:c>
      <x:c r="E5" s="36" t="str">
        <x:v>Design</x:v>
      </x:c>
      <x:c r="F5" s="52" t="str">
        <x:v>P0</x:v>
      </x:c>
      <x:c r="G5" s="36" t="str">
        <x:v>Histórico com várias medições</x:v>
      </x:c>
      <x:c r="H5" s="36" t="str">
        <x:v>1. Abrir aba Histórico
2. Capturar tela inteira
3. Comparar grid de estabilidade, resumo e lista</x:v>
      </x:c>
      <x:c r="I5" s="36" t="str">
        <x:v>Hierarquia clara; estabilidade e resumo aparecem antes da lista; itens compactos e legíveis.</x:v>
      </x:c>
      <x:c r="J5" s="36" t="str">
        <x:v>C:\Users\luizg\Documents\7Agents\Claude Design\SignallQ Design System — HistoricoScreen</x:v>
      </x:c>
      <x:c r="K5" s="36" t="str">
        <x:v>Aba Histórico</x:v>
      </x:c>
      <x:c r="L5" s="52" t="n">
        <x:v>273</x:v>
      </x:c>
      <x:c r="M5" s="52" t="n">
        <x:v>785</x:v>
      </x:c>
      <x:c r="N5" s="52" t="n">
        <x:f>IF(L5="","",ROUND(L5*'00_Leia_Primeiro'!$B$15/'00_Leia_Primeiro'!$B$13,0))</x:f>
        <x:v>273</x:v>
      </x:c>
      <x:c r="O5" s="52" t="n">
        <x:f>IF(M5="","",ROUND(M5*'00_Leia_Primeiro'!$B$16/'00_Leia_Primeiro'!$B$14,0))</x:f>
        <x:v>785</x:v>
      </x:c>
      <x:c r="P5" s="36" t="str">
        <x:v>text=Histórico</x:v>
      </x:c>
      <x:c r="Q5" s="36" t="str">
        <x:v>Screenshot + logcat do período</x:v>
      </x:c>
      <x:c r="R5" s="52" t="str">
        <x:v>Não iniciado</x:v>
      </x:c>
      <x:c r="S5" s="36" t="str"/>
      <x:c r="T5" s="36" t="str"/>
      <x:c r="U5" s="36" t="str"/>
    </x:row>
    <x:row r="6" ht="78" customHeight="1">
      <x:c r="A6" s="52" t="n">
        <x:v>2</x:v>
      </x:c>
      <x:c r="B6" s="36" t="str">
        <x:v>HIS-002</x:v>
      </x:c>
      <x:c r="C6" s="36" t="str">
        <x:v>Histórico</x:v>
      </x:c>
      <x:c r="D6" s="36" t="str">
        <x:v>Estado vazio</x:v>
      </x:c>
      <x:c r="E6" s="36" t="str">
        <x:v>Funcional</x:v>
      </x:c>
      <x:c r="F6" s="52" t="str">
        <x:v>P0</x:v>
      </x:c>
      <x:c r="G6" s="36" t="str">
        <x:v>Banco sem medições</x:v>
      </x:c>
      <x:c r="H6" s="36" t="str">
        <x:v>1. Abrir Histórico</x:v>
      </x:c>
      <x:c r="I6" s="36" t="str">
        <x:v>Estado vazio útil com CTA para medir; não mostra grid enganoso nem erro.</x:v>
      </x:c>
      <x:c r="J6" s="36" t="str">
        <x:v>C:\Users\luizg\Documents\7Agents\Claude Design\SignallQ Design System — HistoricoScreen empty state</x:v>
      </x:c>
      <x:c r="K6" s="36" t="str"/>
      <x:c r="L6" s="52"/>
      <x:c r="M6" s="52"/>
      <x:c r="N6" s="52" t="str">
        <x:f>IF(L6="","",ROUND(L6*'00_Leia_Primeiro'!$B$15/'00_Leia_Primeiro'!$B$13,0))</x:f>
      </x:c>
      <x:c r="O6" s="52" t="str">
        <x:f>IF(M6="","",ROUND(M6*'00_Leia_Primeiro'!$B$16/'00_Leia_Primeiro'!$B$14,0))</x:f>
      </x:c>
      <x:c r="P6" s="36" t="str"/>
      <x:c r="Q6" s="36" t="str">
        <x:v>Screenshot + logcat do período</x:v>
      </x:c>
      <x:c r="R6" s="52" t="str">
        <x:v>Não iniciado</x:v>
      </x:c>
      <x:c r="S6" s="36" t="str"/>
      <x:c r="T6" s="36" t="str"/>
      <x:c r="U6" s="36" t="str"/>
    </x:row>
    <x:row r="7" ht="78" customHeight="1">
      <x:c r="A7" s="52" t="n">
        <x:v>3</x:v>
      </x:c>
      <x:c r="B7" s="36" t="str">
        <x:v>HIS-003</x:v>
      </x:c>
      <x:c r="C7" s="36" t="str">
        <x:v>Histórico</x:v>
      </x:c>
      <x:c r="D7" s="36" t="str">
        <x:v>Lista em ordem cronológica</x:v>
      </x:c>
      <x:c r="E7" s="36" t="str">
        <x:v>Funcional</x:v>
      </x:c>
      <x:c r="F7" s="52" t="str">
        <x:v>P1</x:v>
      </x:c>
      <x:c r="G7" s="36" t="str">
        <x:v>3+ medições conhecidas</x:v>
      </x:c>
      <x:c r="H7" s="36" t="str">
        <x:v>1. Comparar timestamps no banco/resultado
2. Verificar ordem da lista</x:v>
      </x:c>
      <x:c r="I7" s="36" t="str">
        <x:v>Mais recente primeiro; datas e horários no fuso correto; sem duplicatas.</x:v>
      </x:c>
      <x:c r="J7" s="36" t="str">
        <x:v>Room MedicaoDao</x:v>
      </x:c>
      <x:c r="K7" s="36" t="str"/>
      <x:c r="L7" s="52"/>
      <x:c r="M7" s="52"/>
      <x:c r="N7" s="52" t="str">
        <x:f>IF(L7="","",ROUND(L7*'00_Leia_Primeiro'!$B$15/'00_Leia_Primeiro'!$B$13,0))</x:f>
      </x:c>
      <x:c r="O7" s="52" t="str">
        <x:f>IF(M7="","",ROUND(M7*'00_Leia_Primeiro'!$B$16/'00_Leia_Primeiro'!$B$14,0))</x:f>
      </x:c>
      <x:c r="P7" s="36" t="str"/>
      <x:c r="Q7" s="36" t="str">
        <x:v>Screenshot + logcat do período</x:v>
      </x:c>
      <x:c r="R7" s="52" t="str">
        <x:v>Não iniciado</x:v>
      </x:c>
      <x:c r="S7" s="36" t="str"/>
      <x:c r="T7" s="36" t="str"/>
      <x:c r="U7" s="36" t="str"/>
    </x:row>
    <x:row r="8" ht="78" customHeight="1">
      <x:c r="A8" s="52" t="n">
        <x:v>4</x:v>
      </x:c>
      <x:c r="B8" s="36" t="str">
        <x:v>HIS-004</x:v>
      </x:c>
      <x:c r="C8" s="36" t="str">
        <x:v>Histórico</x:v>
      </x:c>
      <x:c r="D8" s="36" t="str">
        <x:v>Filtros por conexão</x:v>
      </x:c>
      <x:c r="E8" s="36" t="str">
        <x:v>Funcional</x:v>
      </x:c>
      <x:c r="F8" s="52" t="str">
        <x:v>P1</x:v>
      </x:c>
      <x:c r="G8" s="36" t="str">
        <x:v>Histórico misto Wi-Fi/móvel</x:v>
      </x:c>
      <x:c r="H8" s="36" t="str">
        <x:v>1. Alternar Todos, Wi-Fi e Móvel
2. Comparar contagem</x:v>
      </x:c>
      <x:c r="I8" s="36" t="str">
        <x:v>Lista e resumos refletem o filtro; sem resultados de outro tipo.</x:v>
      </x:c>
      <x:c r="J8" s="36" t="str">
        <x:v>AppShell filtroConexaoHistorico</x:v>
      </x:c>
      <x:c r="K8" s="36" t="str"/>
      <x:c r="L8" s="52"/>
      <x:c r="M8" s="52"/>
      <x:c r="N8" s="52" t="str">
        <x:f>IF(L8="","",ROUND(L8*'00_Leia_Primeiro'!$B$15/'00_Leia_Primeiro'!$B$13,0))</x:f>
      </x:c>
      <x:c r="O8" s="52" t="str">
        <x:f>IF(M8="","",ROUND(M8*'00_Leia_Primeiro'!$B$16/'00_Leia_Primeiro'!$B$14,0))</x:f>
      </x:c>
      <x:c r="P8" s="36" t="str"/>
      <x:c r="Q8" s="36" t="str">
        <x:v>Screenshot + logcat do período</x:v>
      </x:c>
      <x:c r="R8" s="52" t="str">
        <x:v>Não iniciado</x:v>
      </x:c>
      <x:c r="S8" s="36" t="str"/>
      <x:c r="T8" s="36" t="str"/>
      <x:c r="U8" s="36" t="str"/>
    </x:row>
    <x:row r="9" ht="78" customHeight="1">
      <x:c r="A9" s="52" t="n">
        <x:v>5</x:v>
      </x:c>
      <x:c r="B9" s="36" t="str">
        <x:v>HIS-005</x:v>
      </x:c>
      <x:c r="C9" s="36" t="str">
        <x:v>Histórico</x:v>
      </x:c>
      <x:c r="D9" s="36" t="str">
        <x:v>Filtro por operadora</x:v>
      </x:c>
      <x:c r="E9" s="36" t="str">
        <x:v>Funcional</x:v>
      </x:c>
      <x:c r="F9" s="52" t="str">
        <x:v>P1</x:v>
      </x:c>
      <x:c r="G9" s="36" t="str">
        <x:v>Medições de mais de uma operadora</x:v>
      </x:c>
      <x:c r="H9" s="36" t="str">
        <x:v>1. Abrir seletor de operadora
2. Selecionar cada uma
3. Limpar filtro</x:v>
      </x:c>
      <x:c r="I9" s="36" t="str">
        <x:v>Resultados correspondem à operadora; limpar restaura todos.</x:v>
      </x:c>
      <x:c r="J9" s="36" t="str">
        <x:v>AppShell filtroOperadoraHistorico</x:v>
      </x:c>
      <x:c r="K9" s="36" t="str"/>
      <x:c r="L9" s="52"/>
      <x:c r="M9" s="52"/>
      <x:c r="N9" s="52" t="str">
        <x:f>IF(L9="","",ROUND(L9*'00_Leia_Primeiro'!$B$15/'00_Leia_Primeiro'!$B$13,0))</x:f>
      </x:c>
      <x:c r="O9" s="52" t="str">
        <x:f>IF(M9="","",ROUND(M9*'00_Leia_Primeiro'!$B$16/'00_Leia_Primeiro'!$B$14,0))</x:f>
      </x:c>
      <x:c r="P9" s="36" t="str"/>
      <x:c r="Q9" s="36" t="str">
        <x:v>Screenshot + logcat do período</x:v>
      </x:c>
      <x:c r="R9" s="52" t="str">
        <x:v>Não iniciado</x:v>
      </x:c>
      <x:c r="S9" s="36" t="str"/>
      <x:c r="T9" s="36" t="str"/>
      <x:c r="U9" s="36" t="str"/>
    </x:row>
    <x:row r="10" ht="78" customHeight="1">
      <x:c r="A10" s="52" t="n">
        <x:v>6</x:v>
      </x:c>
      <x:c r="B10" s="36" t="str">
        <x:v>HIS-006</x:v>
      </x:c>
      <x:c r="C10" s="36" t="str">
        <x:v>Histórico</x:v>
      </x:c>
      <x:c r="D10" s="36" t="str">
        <x:v>Grid de estabilidade</x:v>
      </x:c>
      <x:c r="E10" s="36" t="str">
        <x:v>Funcional</x:v>
      </x:c>
      <x:c r="F10" s="52" t="str">
        <x:v>P1</x:v>
      </x:c>
      <x:c r="G10" s="36" t="str">
        <x:v>Até 35+ medições</x:v>
      </x:c>
      <x:c r="H10" s="36" t="str">
        <x:v>1. Contar células/pontos
2. Comparar estados com métricas das medições</x:v>
      </x:c>
      <x:c r="I10" s="36" t="str">
        <x:v>Representa as medições reais (limite visual previsto), com legenda e acesso não dependente só de cor.</x:v>
      </x:c>
      <x:c r="J10" s="36" t="str">
        <x:v>C:\Users\luizg\Documents\7Agents\Claude Design\SignallQ Design System — stability grid last 35</x:v>
      </x:c>
      <x:c r="K10" s="36" t="str"/>
      <x:c r="L10" s="52"/>
      <x:c r="M10" s="52"/>
      <x:c r="N10" s="52" t="str">
        <x:f>IF(L10="","",ROUND(L10*'00_Leia_Primeiro'!$B$15/'00_Leia_Primeiro'!$B$13,0))</x:f>
      </x:c>
      <x:c r="O10" s="52" t="str">
        <x:f>IF(M10="","",ROUND(M10*'00_Leia_Primeiro'!$B$16/'00_Leia_Primeiro'!$B$14,0))</x:f>
      </x:c>
      <x:c r="P10" s="36" t="str"/>
      <x:c r="Q10" s="36" t="str">
        <x:v>Screenshot + logcat do período</x:v>
      </x:c>
      <x:c r="R10" s="52" t="str">
        <x:v>Não iniciado</x:v>
      </x:c>
      <x:c r="S10" s="36" t="str"/>
      <x:c r="T10" s="36" t="str"/>
      <x:c r="U10" s="36" t="str"/>
    </x:row>
    <x:row r="11" ht="78" customHeight="1">
      <x:c r="A11" s="52" t="n">
        <x:v>7</x:v>
      </x:c>
      <x:c r="B11" s="36" t="str">
        <x:v>HIS-007</x:v>
      </x:c>
      <x:c r="C11" s="36" t="str">
        <x:v>Histórico</x:v>
      </x:c>
      <x:c r="D11" s="36" t="str">
        <x:v>Resumo inteligente</x:v>
      </x:c>
      <x:c r="E11" s="36" t="str">
        <x:v>Funcional</x:v>
      </x:c>
      <x:c r="F11" s="52" t="str">
        <x:v>P1</x:v>
      </x:c>
      <x:c r="G11" s="36" t="str">
        <x:v>ResumoHistorico disponível</x:v>
      </x:c>
      <x:c r="H11" s="36" t="str">
        <x:v>1. Comparar texto com tendências reais
2. Testar poucas medições</x:v>
      </x:c>
      <x:c r="I11" s="36" t="str">
        <x:v>Resumo não inventa tendência; com dados insuficientes informa limitação; linguagem simples.</x:v>
      </x:c>
      <x:c r="J11" s="36" t="str">
        <x:v>ResumoHistorico</x:v>
      </x:c>
      <x:c r="K11" s="36" t="str"/>
      <x:c r="L11" s="52"/>
      <x:c r="M11" s="52"/>
      <x:c r="N11" s="52" t="str">
        <x:f>IF(L11="","",ROUND(L11*'00_Leia_Primeiro'!$B$15/'00_Leia_Primeiro'!$B$13,0))</x:f>
      </x:c>
      <x:c r="O11" s="52" t="str">
        <x:f>IF(M11="","",ROUND(M11*'00_Leia_Primeiro'!$B$16/'00_Leia_Primeiro'!$B$14,0))</x:f>
      </x:c>
      <x:c r="P11" s="36" t="str"/>
      <x:c r="Q11" s="36" t="str">
        <x:v>Screenshot + logcat do período</x:v>
      </x:c>
      <x:c r="R11" s="52" t="str">
        <x:v>Não iniciado</x:v>
      </x:c>
      <x:c r="S11" s="36" t="str"/>
      <x:c r="T11" s="36" t="str"/>
      <x:c r="U11" s="36" t="str"/>
    </x:row>
    <x:row r="12" ht="78" customHeight="1">
      <x:c r="A12" s="52" t="n">
        <x:v>8</x:v>
      </x:c>
      <x:c r="B12" s="36" t="str">
        <x:v>HIS-008</x:v>
      </x:c>
      <x:c r="C12" s="36" t="str">
        <x:v>Histórico</x:v>
      </x:c>
      <x:c r="D12" s="36" t="str">
        <x:v>Detalhe de medição</x:v>
      </x:c>
      <x:c r="E12" s="36" t="str">
        <x:v>Funcional</x:v>
      </x:c>
      <x:c r="F12" s="52" t="str">
        <x:v>P0</x:v>
      </x:c>
      <x:c r="G12" s="36" t="str">
        <x:v>Item disponível</x:v>
      </x:c>
      <x:c r="H12" s="36" t="str">
        <x:v>1. Tocar no item mais recente
2. Comparar todas as métricas
3. Fechar</x:v>
      </x:c>
      <x:c r="I12" s="36" t="str">
        <x:v>HistoricoDetailSheet mostra os mesmos dados do resultado, conexão/operadora/data corretas e ações disponíveis.</x:v>
      </x:c>
      <x:c r="J12" s="36" t="str">
        <x:v>C:\Users\luizg\Documents\7Agents\Claude Design\SignallQ Design System — HistoricoDetailSheet</x:v>
      </x:c>
      <x:c r="K12" s="36" t="str">
        <x:v>Item recente</x:v>
      </x:c>
      <x:c r="L12" s="52" t="n">
        <x:v>195</x:v>
      </x:c>
      <x:c r="M12" s="52" t="n">
        <x:v>560</x:v>
      </x:c>
      <x:c r="N12" s="52" t="n">
        <x:f>IF(L12="","",ROUND(L12*'00_Leia_Primeiro'!$B$15/'00_Leia_Primeiro'!$B$13,0))</x:f>
        <x:v>195</x:v>
      </x:c>
      <x:c r="O12" s="52" t="n">
        <x:f>IF(M12="","",ROUND(M12*'00_Leia_Primeiro'!$B$16/'00_Leia_Primeiro'!$B$14,0))</x:f>
        <x:v>560</x:v>
      </x:c>
      <x:c r="P12" s="36" t="str">
        <x:v>text~Mbps|ms</x:v>
      </x:c>
      <x:c r="Q12" s="36" t="str">
        <x:v>Screenshot + logcat do período</x:v>
      </x:c>
      <x:c r="R12" s="52" t="str">
        <x:v>Não iniciado</x:v>
      </x:c>
      <x:c r="S12" s="36" t="str"/>
      <x:c r="T12" s="36" t="str"/>
      <x:c r="U12" s="36" t="str"/>
    </x:row>
    <x:row r="13" ht="78" customHeight="1">
      <x:c r="A13" s="52" t="n">
        <x:v>9</x:v>
      </x:c>
      <x:c r="B13" s="36" t="str">
        <x:v>HIS-009</x:v>
      </x:c>
      <x:c r="C13" s="36" t="str">
        <x:v>Histórico</x:v>
      </x:c>
      <x:c r="D13" s="36" t="str">
        <x:v>Exportação</x:v>
      </x:c>
      <x:c r="E13" s="36" t="str">
        <x:v>Funcional</x:v>
      </x:c>
      <x:c r="F13" s="52" t="str">
        <x:v>P1</x:v>
      </x:c>
      <x:c r="G13" s="36" t="str">
        <x:v>Histórico com dados</x:v>
      </x:c>
      <x:c r="H13" s="36" t="str">
        <x:v>1. Tocar em exportar/compartilhar
2. Selecionar opções
3. Gerar arquivo</x:v>
      </x:c>
      <x:c r="I13" s="36" t="str">
        <x:v>ExportHistoricoBottomSheet abre; arquivo contém escopo escolhido e sharesheet funciona.</x:v>
      </x:c>
      <x:c r="J13" s="36" t="str">
        <x:v>C:\Users\luizg\Documents\7Agents\Claude Design\SignallQ Design System — ExportHistoricoBottomSheet</x:v>
      </x:c>
      <x:c r="K13" s="36" t="str">
        <x:v>Exportar</x:v>
      </x:c>
      <x:c r="L13" s="52" t="n">
        <x:v>360</x:v>
      </x:c>
      <x:c r="M13" s="52" t="n">
        <x:v>52</x:v>
      </x:c>
      <x:c r="N13" s="52" t="n">
        <x:f>IF(L13="","",ROUND(L13*'00_Leia_Primeiro'!$B$15/'00_Leia_Primeiro'!$B$13,0))</x:f>
        <x:v>360</x:v>
      </x:c>
      <x:c r="O13" s="52" t="n">
        <x:f>IF(M13="","",ROUND(M13*'00_Leia_Primeiro'!$B$16/'00_Leia_Primeiro'!$B$14,0))</x:f>
        <x:v>52</x:v>
      </x:c>
      <x:c r="P13" s="36" t="str">
        <x:v>contentDescription~Exportar|Compartilhar</x:v>
      </x:c>
      <x:c r="Q13" s="36" t="str">
        <x:v>Screenshot + logcat do período</x:v>
      </x:c>
      <x:c r="R13" s="52" t="str">
        <x:v>Não iniciado</x:v>
      </x:c>
      <x:c r="S13" s="36" t="str"/>
      <x:c r="T13" s="36" t="str"/>
      <x:c r="U13" s="36" t="str"/>
    </x:row>
    <x:row r="14" ht="78" customHeight="1">
      <x:c r="A14" s="52" t="n">
        <x:v>10</x:v>
      </x:c>
      <x:c r="B14" s="36" t="str">
        <x:v>HIS-010</x:v>
      </x:c>
      <x:c r="C14" s="36" t="str">
        <x:v>Histórico</x:v>
      </x:c>
      <x:c r="D14" s="36" t="str">
        <x:v>Persistência após reinício</x:v>
      </x:c>
      <x:c r="E14" s="36" t="str">
        <x:v>Funcional</x:v>
      </x:c>
      <x:c r="F14" s="52" t="str">
        <x:v>P0</x:v>
      </x:c>
      <x:c r="G14" s="36" t="str">
        <x:v>Medições salvas</x:v>
      </x:c>
      <x:c r="H14" s="36" t="str">
        <x:v>1. Forçar parada
2. Reabrir app
3. Voltar ao Histórico</x:v>
      </x:c>
      <x:c r="I14" s="36" t="str">
        <x:v>Entradas, filtros persistidos conforme especificação e detalhes permanecem consistentes.</x:v>
      </x:c>
      <x:c r="J14" s="36" t="str">
        <x:v>Room/DataStore</x:v>
      </x:c>
      <x:c r="K14" s="36" t="str"/>
      <x:c r="L14" s="52"/>
      <x:c r="M14" s="52"/>
      <x:c r="N14" s="52" t="str">
        <x:f>IF(L14="","",ROUND(L14*'00_Leia_Primeiro'!$B$15/'00_Leia_Primeiro'!$B$13,0))</x:f>
      </x:c>
      <x:c r="O14" s="52" t="str">
        <x:f>IF(M14="","",ROUND(M14*'00_Leia_Primeiro'!$B$16/'00_Leia_Primeiro'!$B$14,0))</x:f>
      </x:c>
      <x:c r="P14" s="36" t="str"/>
      <x:c r="Q14" s="36" t="str">
        <x:v>Screenshot + logcat do período</x:v>
      </x:c>
      <x:c r="R14" s="52" t="str">
        <x:v>Não iniciado</x:v>
      </x:c>
      <x:c r="S14" s="36" t="str"/>
      <x:c r="T14" s="36" t="str"/>
      <x:c r="U14" s="36" t="str"/>
    </x:row>
    <x:row r="15" ht="78" customHeight="1">
      <x:c r="A15" s="52" t="n">
        <x:v>11</x:v>
      </x:c>
      <x:c r="B15" s="36" t="str">
        <x:v>HIS-011</x:v>
      </x:c>
      <x:c r="C15" s="36" t="str">
        <x:v>Histórico</x:v>
      </x:c>
      <x:c r="D15" s="36" t="str">
        <x:v>Back retorna à Home</x:v>
      </x:c>
      <x:c r="E15" s="36" t="str">
        <x:v>Navegação</x:v>
      </x:c>
      <x:c r="F15" s="52" t="str">
        <x:v>P1</x:v>
      </x:c>
      <x:c r="G15" s="36" t="str">
        <x:v>Na aba Histórico, nenhum sheet</x:v>
      </x:c>
      <x:c r="H15" s="36" t="str">
        <x:v>1. Pressionar back</x:v>
      </x:c>
      <x:c r="I15" s="36" t="str">
        <x:v>Seleciona Home, não fecha app.</x:v>
      </x:c>
      <x:c r="J15" s="36" t="str">
        <x:v>AppShell BackHandler selectedTab 3</x:v>
      </x:c>
      <x:c r="K15" s="36" t="str"/>
      <x:c r="L15" s="52"/>
      <x:c r="M15" s="52"/>
      <x:c r="N15" s="52" t="str">
        <x:f>IF(L15="","",ROUND(L15*'00_Leia_Primeiro'!$B$15/'00_Leia_Primeiro'!$B$13,0))</x:f>
      </x:c>
      <x:c r="O15" s="52" t="str">
        <x:f>IF(M15="","",ROUND(M15*'00_Leia_Primeiro'!$B$16/'00_Leia_Primeiro'!$B$14,0))</x:f>
      </x:c>
      <x:c r="P15" s="36" t="str"/>
      <x:c r="Q15" s="36" t="str">
        <x:v>Screenshot + logcat do período</x:v>
      </x:c>
      <x:c r="R15" s="52" t="str">
        <x:v>Não iniciado</x:v>
      </x:c>
      <x:c r="S15" s="36" t="str"/>
      <x:c r="T15" s="36" t="str"/>
      <x:c r="U15" s="36" t="str"/>
    </x:row>
    <x:row r="16" ht="78" customHeight="1">
      <x:c r="A16" s="52" t="n">
        <x:v>12</x:v>
      </x:c>
      <x:c r="B16" s="36" t="str">
        <x:v>HIS-012</x:v>
      </x:c>
      <x:c r="C16" s="36" t="str">
        <x:v>Histórico</x:v>
      </x:c>
      <x:c r="D16" s="36" t="str">
        <x:v>Scroll longo</x:v>
      </x:c>
      <x:c r="E16" s="36" t="str">
        <x:v>Design</x:v>
      </x:c>
      <x:c r="F16" s="52" t="str">
        <x:v>P1</x:v>
      </x:c>
      <x:c r="G16" s="36" t="str">
        <x:v>50+ medições</x:v>
      </x:c>
      <x:c r="H16" s="36" t="str">
        <x:v>1. Rolar rapidamente até o fim e voltar
2. Abrir item intermediário</x:v>
      </x:c>
      <x:c r="I16" s="36" t="str">
        <x:v>Scroll fluido, sem itens piscando/duplicados; último item não fica sob nav.</x:v>
      </x:c>
      <x:c r="J16" s="36" t="str">
        <x:v>LazyColumn</x:v>
      </x:c>
      <x:c r="K16" s="36" t="str"/>
      <x:c r="L16" s="52"/>
      <x:c r="M16" s="52"/>
      <x:c r="N16" s="52" t="str">
        <x:f>IF(L16="","",ROUND(L16*'00_Leia_Primeiro'!$B$15/'00_Leia_Primeiro'!$B$13,0))</x:f>
      </x:c>
      <x:c r="O16" s="52" t="str">
        <x:f>IF(M16="","",ROUND(M16*'00_Leia_Primeiro'!$B$16/'00_Leia_Primeiro'!$B$14,0))</x:f>
      </x:c>
      <x:c r="P16" s="36" t="str"/>
      <x:c r="Q16" s="36" t="str">
        <x:v>Screenshot + logcat do período</x:v>
      </x:c>
      <x:c r="R16" s="52" t="str">
        <x:v>Não iniciado</x:v>
      </x:c>
      <x:c r="S16" s="36" t="str"/>
      <x:c r="T16" s="36" t="str"/>
      <x:c r="U16" s="36" t="str"/>
    </x:row>
    <x:row r="17" ht="78" customHeight="1">
      <x:c r="A17" s="52" t="n">
        <x:v>13</x:v>
      </x:c>
      <x:c r="B17" s="36" t="str">
        <x:v>HIS-013</x:v>
      </x:c>
      <x:c r="C17" s="36" t="str">
        <x:v>Histórico</x:v>
      </x:c>
      <x:c r="D17" s="36" t="str">
        <x:v>Limpeza pelo Perfil/Ajustes</x:v>
      </x:c>
      <x:c r="E17" s="36" t="str">
        <x:v>Funcional</x:v>
      </x:c>
      <x:c r="F17" s="52" t="str">
        <x:v>P1</x:v>
      </x:c>
      <x:c r="G17" s="36" t="str">
        <x:v>Histórico existente</x:v>
      </x:c>
      <x:c r="H17" s="36" t="str">
        <x:v>1. Abrir Perfil &gt; Gerenciar dados
2. Limpar histórico com confirmação
3. Voltar ao Histórico</x:v>
      </x:c>
      <x:c r="I17" s="36" t="str">
        <x:v>Somente histórico é removido conforme opção; tela vira estado vazio; outros dados preservados.</x:v>
      </x:c>
      <x:c r="J17" s="36" t="str">
        <x:v>onLimparHistorico + DadosLocaisSheet</x:v>
      </x:c>
      <x:c r="K17" s="36" t="str"/>
      <x:c r="L17" s="52"/>
      <x:c r="M17" s="52"/>
      <x:c r="N17" s="52" t="str">
        <x:f>IF(L17="","",ROUND(L17*'00_Leia_Primeiro'!$B$15/'00_Leia_Primeiro'!$B$13,0))</x:f>
      </x:c>
      <x:c r="O17" s="52" t="str">
        <x:f>IF(M17="","",ROUND(M17*'00_Leia_Primeiro'!$B$16/'00_Leia_Primeiro'!$B$14,0))</x:f>
      </x:c>
      <x:c r="P17" s="36" t="str"/>
      <x:c r="Q17" s="36" t="str">
        <x:v>Screenshot + logcat do período</x:v>
      </x:c>
      <x:c r="R17" s="52" t="str">
        <x:v>Não iniciado</x:v>
      </x:c>
      <x:c r="S17" s="36" t="str"/>
      <x:c r="T17" s="36" t="str"/>
      <x:c r="U17" s="36" t="str"/>
    </x:row>
    <x:row r="18" ht="78" customHeight="1">
      <x:c r="A18" s="52" t="n">
        <x:v>14</x:v>
      </x:c>
      <x:c r="B18" s="36" t="str">
        <x:v>HIS-014</x:v>
      </x:c>
      <x:c r="C18" s="36" t="str">
        <x:v>Histórico</x:v>
      </x:c>
      <x:c r="D18" s="36" t="str">
        <x:v>Falha de leitura</x:v>
      </x:c>
      <x:c r="E18" s="36" t="str">
        <x:v>Erro</x:v>
      </x:c>
      <x:c r="F18" s="52" t="str">
        <x:v>P2</x:v>
      </x:c>
      <x:c r="G18" s="36" t="str">
        <x:v>Injetar erro de banco se harness permitir</x:v>
      </x:c>
      <x:c r="H18" s="36" t="str">
        <x:v>1. Abrir tela
2. Observar erro/retry</x:v>
      </x:c>
      <x:c r="I18" s="36" t="str">
        <x:v>Erro não encerra app; oferece estado honesto; log registra causa.</x:v>
      </x:c>
      <x:c r="J18" s="36" t="str">
        <x:v>Room/UiState</x:v>
      </x:c>
      <x:c r="K18" s="36" t="str"/>
      <x:c r="L18" s="52"/>
      <x:c r="M18" s="52"/>
      <x:c r="N18" s="52" t="str">
        <x:f>IF(L18="","",ROUND(L18*'00_Leia_Primeiro'!$B$15/'00_Leia_Primeiro'!$B$13,0))</x:f>
      </x:c>
      <x:c r="O18" s="52" t="str">
        <x:f>IF(M18="","",ROUND(M18*'00_Leia_Primeiro'!$B$16/'00_Leia_Primeiro'!$B$14,0))</x:f>
      </x:c>
      <x:c r="P18" s="36" t="str"/>
      <x:c r="Q18" s="36" t="str">
        <x:v>Screenshot + logcat do período</x:v>
      </x:c>
      <x:c r="R18" s="52" t="str">
        <x:v>Não iniciado</x:v>
      </x:c>
      <x:c r="S18" s="36" t="str"/>
      <x:c r="T18" s="36" t="str"/>
      <x:c r="U18" s="36" t="str"/>
    </x:row>
    <x:row r="19" ht="78" customHeight="1">
      <x:c r="A19" s="52" t="n">
        <x:v>15</x:v>
      </x:c>
      <x:c r="B19" s="36" t="str">
        <x:v>HIS-015</x:v>
      </x:c>
      <x:c r="C19" s="36" t="str">
        <x:v>Histórico</x:v>
      </x:c>
      <x:c r="D19" s="36" t="str">
        <x:v>Tema claro/escuro e contraste</x:v>
      </x:c>
      <x:c r="E19" s="36" t="str">
        <x:v>Design</x:v>
      </x:c>
      <x:c r="F19" s="52" t="str">
        <x:v>P1</x:v>
      </x:c>
      <x:c r="G19" s="36" t="str">
        <x:v>Dados variados</x:v>
      </x:c>
      <x:c r="H19" s="36" t="str">
        <x:v>1. Comparar ambos os temas</x:v>
      </x:c>
      <x:c r="I19" s="36" t="str">
        <x:v>Grid, badges, gráficos e textos mantêm contraste e significado.</x:v>
      </x:c>
      <x:c r="J19" s="36" t="str">
        <x:v>C:\Users\luizg\Documents\7Agents\Claude Design\SignallQ Design System — theme.js</x:v>
      </x:c>
      <x:c r="K19" s="36" t="str"/>
      <x:c r="L19" s="52"/>
      <x:c r="M19" s="52"/>
      <x:c r="N19" s="52" t="str">
        <x:f>IF(L19="","",ROUND(L19*'00_Leia_Primeiro'!$B$15/'00_Leia_Primeiro'!$B$13,0))</x:f>
      </x:c>
      <x:c r="O19" s="52" t="str">
        <x:f>IF(M19="","",ROUND(M19*'00_Leia_Primeiro'!$B$16/'00_Leia_Primeiro'!$B$14,0))</x:f>
      </x:c>
      <x:c r="P19" s="36" t="str"/>
      <x:c r="Q19" s="36" t="str">
        <x:v>Screenshot + logcat do período</x:v>
      </x:c>
      <x:c r="R19" s="52" t="str">
        <x:v>Não iniciado</x:v>
      </x:c>
      <x:c r="S19" s="36" t="str"/>
      <x:c r="T19" s="36" t="str"/>
      <x:c r="U19" s="36" t="str"/>
    </x:row>
  </x:sheetData>
  <x:mergeCells>
    <x:mergeCell ref="A1:U1"/>
    <x:mergeCell ref="A2:U2"/>
  </x:mergeCells>
  <x:conditionalFormatting sqref="R5:R19">
    <x:cfRule type="expression" dxfId="28" priority="1">
      <x:formula>R5="Passou"</x:formula>
    </x:cfRule>
    <x:cfRule type="expression" dxfId="29" priority="2">
      <x:formula>R5="Falhou"</x:formula>
    </x:cfRule>
    <x:cfRule type="expression" dxfId="30" priority="3">
      <x:formula>R5="Bloqueado"</x:formula>
    </x:cfRule>
    <x:cfRule type="expression" dxfId="31" priority="4">
      <x:formula>R5="Em execução"</x:formula>
    </x:cfRule>
    <x:cfRule type="expression" dxfId="32" priority="5">
      <x:formula>R5="N/A"</x:formula>
    </x:cfRule>
  </x:conditionalFormatting>
  <x:conditionalFormatting sqref="F5:F19">
    <x:cfRule type="expression" dxfId="33" priority="6">
      <x:formula>F5="P0"</x:formula>
    </x:cfRule>
    <x:cfRule type="expression" dxfId="34" priority="7">
      <x:formula>F5="P1"</x:formula>
    </x:cfRule>
  </x:conditionalFormatting>
  <x:dataValidations count="2">
    <x:dataValidation type="list" sqref="F5:F19">
      <x:formula1>"P0,P1,P2,P3"</x:formula1>
    </x:dataValidation>
    <x:dataValidation type="list" sqref="R5:R19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cdf888512b4cb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7" hidden="0" customWidth="1"/>
    <x:col min="5" max="5" width="16" hidden="0" customWidth="1"/>
    <x:col min="6" max="6" width="10" hidden="0" customWidth="1"/>
    <x:col min="7" max="7" width="34" hidden="0" customWidth="1"/>
    <x:col min="8" max="8" width="48" hidden="0" customWidth="1"/>
    <x:col min="9" max="9" width="48" hidden="0" customWidth="1"/>
    <x:col min="10" max="10" width="42" hidden="0" customWidth="1"/>
    <x:col min="11" max="11" width="24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32" hidden="0" customWidth="1"/>
    <x:col min="17" max="17" width="28" hidden="0" customWidth="1"/>
    <x:col min="18" max="18" width="16" hidden="0" customWidth="1"/>
    <x:col min="19" max="19" width="20" hidden="0" customWidth="1"/>
    <x:col min="20" max="20" width="34" hidden="0" customWidth="1"/>
    <x:col min="21" max="21" width="27" hidden="0" customWidth="1"/>
  </x:cols>
  <x:sheetData>
    <x:row r="1" ht="32" customHeight="1">
      <x:c r="A1" s="5" t="str">
        <x:v>Perfil/Ajustes e hub Ferramentas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3" t="str">
        <x:v>Execute em ordem. Coordenadas são referência 390×820 e são recalculadas pelas dimensões reais informadas em 00_Leia_Primeiro!B15:B16. Use seletor semântico antes de tap por coordenada.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</x:row>
    <x:row r="4" ht="44" customHeight="1">
      <x:c r="A4" s="28" t="str">
        <x:v>Ordem</x:v>
      </x:c>
      <x:c r="B4" s="28" t="str">
        <x:v>ID</x:v>
      </x:c>
      <x:c r="C4" s="28" t="str">
        <x:v>Tela / componente</x:v>
      </x:c>
      <x:c r="D4" s="28" t="str">
        <x:v>Estado / cenário</x:v>
      </x:c>
      <x:c r="E4" s="28" t="str">
        <x:v>Categoria</x:v>
      </x:c>
      <x:c r="F4" s="28" t="str">
        <x:v>Prioridade</x:v>
      </x:c>
      <x:c r="G4" s="28" t="str">
        <x:v>Pré-condições</x:v>
      </x:c>
      <x:c r="H4" s="28" t="str">
        <x:v>Passo a passo</x:v>
      </x:c>
      <x:c r="I4" s="28" t="str">
        <x:v>Resultado esperado</x:v>
      </x:c>
      <x:c r="J4" s="28" t="str">
        <x:v>Referência design / código</x:v>
      </x:c>
      <x:c r="K4" s="28" t="str">
        <x:v>Ação / alvo</x:v>
      </x:c>
      <x:c r="L4" s="28" t="str">
        <x:v>X base 390</x:v>
      </x:c>
      <x:c r="M4" s="28" t="str">
        <x:v>Y base 820</x:v>
      </x:c>
      <x:c r="N4" s="28" t="str">
        <x:v>X device</x:v>
      </x:c>
      <x:c r="O4" s="28" t="str">
        <x:v>Y device</x:v>
      </x:c>
      <x:c r="P4" s="28" t="str">
        <x:v>Seletor preferencial</x:v>
      </x:c>
      <x:c r="Q4" s="28" t="str">
        <x:v>Evidência esperada</x:v>
      </x:c>
      <x:c r="R4" s="28" t="str">
        <x:v>Status</x:v>
      </x:c>
      <x:c r="S4" s="28" t="str">
        <x:v>Bug GitHub</x:v>
      </x:c>
      <x:c r="T4" s="28" t="str">
        <x:v>Observações</x:v>
      </x:c>
      <x:c r="U4" s="28" t="str">
        <x:v>Bloqueador / dependência</x:v>
      </x:c>
    </x:row>
    <x:row r="5" ht="78" customHeight="1">
      <x:c r="A5" s="52" t="n">
        <x:v>1</x:v>
      </x:c>
      <x:c r="B5" s="36" t="str">
        <x:v>TOOL-001</x:v>
      </x:c>
      <x:c r="C5" s="36" t="str">
        <x:v>Ferramentas</x:v>
      </x:c>
      <x:c r="D5" s="36" t="str">
        <x:v>Quinta aba e hub To-Be do código atual</x:v>
      </x:c>
      <x:c r="E5" s="36" t="str">
        <x:v>Design</x:v>
      </x:c>
      <x:c r="F5" s="52" t="str">
        <x:v>P0</x:v>
      </x:c>
      <x:c r="G5" s="36" t="str">
        <x:v>Onboarding concluído</x:v>
      </x:c>
      <x:c r="H5" s="36" t="str">
        <x:v>1. Abrir quinta aba
2. Capturar hub
3. Contar e nomear atalhos</x:v>
      </x:c>
      <x:c r="I5" s="36" t="str">
        <x:v>Hub em grade 2 colunas com 7 atalhos: Dispositivos, Equipamento de internet, Ping, DNS, Laudo, Monitoramento e Jogos.</x:v>
      </x:c>
      <x:c r="J5" s="36" t="str">
        <x:v>Commit f81c3c06705ccf83d061874293459417ab806b3a</x:v>
      </x:c>
      <x:c r="K5" s="36" t="str">
        <x:v>Ferramentas</x:v>
      </x:c>
      <x:c r="L5" s="52" t="n">
        <x:v>351</x:v>
      </x:c>
      <x:c r="M5" s="52" t="n">
        <x:v>785</x:v>
      </x:c>
      <x:c r="N5" s="52" t="n">
        <x:f>IF(L5="","",ROUND(L5*'00_Leia_Primeiro'!$B$15/'00_Leia_Primeiro'!$B$13,0))</x:f>
        <x:v>351</x:v>
      </x:c>
      <x:c r="O5" s="52" t="n">
        <x:f>IF(M5="","",ROUND(M5*'00_Leia_Primeiro'!$B$16/'00_Leia_Primeiro'!$B$14,0))</x:f>
        <x:v>785</x:v>
      </x:c>
      <x:c r="P5" s="36" t="str">
        <x:v>text=Ferramentas</x:v>
      </x:c>
      <x:c r="Q5" s="36" t="str">
        <x:v>Screenshot + logcat do período</x:v>
      </x:c>
      <x:c r="R5" s="52" t="str">
        <x:v>Não iniciado</x:v>
      </x:c>
      <x:c r="S5" s="36" t="str"/>
      <x:c r="T5" s="36" t="str"/>
      <x:c r="U5" s="36" t="str"/>
    </x:row>
    <x:row r="6" ht="78" customHeight="1">
      <x:c r="A6" s="52" t="n">
        <x:v>2</x:v>
      </x:c>
      <x:c r="B6" s="36" t="str">
        <x:v>TOOL-002</x:v>
      </x:c>
      <x:c r="C6" s="36" t="str">
        <x:v>Ferramentas</x:v>
      </x:c>
      <x:c r="D6" s="36" t="str">
        <x:v>Atalho Dispositivos</x:v>
      </x:c>
      <x:c r="E6" s="36" t="str">
        <x:v>Navegação</x:v>
      </x:c>
      <x:c r="F6" s="52" t="str">
        <x:v>P0</x:v>
      </x:c>
      <x:c r="G6" s="36" t="str">
        <x:v>Hub aberto</x:v>
      </x:c>
      <x:c r="H6" s="36" t="str">
        <x:v>1. Tocar Dispositivos
2. Voltar</x:v>
      </x:c>
      <x:c r="I6" s="36" t="str">
        <x:v>Abre DispositivosScreen; back volta ao hub.</x:v>
      </x:c>
      <x:c r="J6" s="36" t="str">
        <x:v>AppShell Overlay.Dispositivos</x:v>
      </x:c>
      <x:c r="K6" s="36" t="str">
        <x:v>Dispositivos</x:v>
      </x:c>
      <x:c r="L6" s="52" t="n">
        <x:v>105</x:v>
      </x:c>
      <x:c r="M6" s="52" t="n">
        <x:v>215</x:v>
      </x:c>
      <x:c r="N6" s="52" t="n">
        <x:f>IF(L6="","",ROUND(L6*'00_Leia_Primeiro'!$B$15/'00_Leia_Primeiro'!$B$13,0))</x:f>
        <x:v>105</x:v>
      </x:c>
      <x:c r="O6" s="52" t="n">
        <x:f>IF(M6="","",ROUND(M6*'00_Leia_Primeiro'!$B$16/'00_Leia_Primeiro'!$B$14,0))</x:f>
        <x:v>215</x:v>
      </x:c>
      <x:c r="P6" s="36" t="str">
        <x:v>text=Dispositivos</x:v>
      </x:c>
      <x:c r="Q6" s="36" t="str">
        <x:v>Screenshot + logcat do período</x:v>
      </x:c>
      <x:c r="R6" s="52" t="str">
        <x:v>Não iniciado</x:v>
      </x:c>
      <x:c r="S6" s="36" t="str"/>
      <x:c r="T6" s="36" t="str"/>
      <x:c r="U6" s="36" t="str"/>
    </x:row>
    <x:row r="7" ht="78" customHeight="1">
      <x:c r="A7" s="52" t="n">
        <x:v>3</x:v>
      </x:c>
      <x:c r="B7" s="36" t="str">
        <x:v>TOOL-003</x:v>
      </x:c>
      <x:c r="C7" s="36" t="str">
        <x:v>Ferramentas</x:v>
      </x:c>
      <x:c r="D7" s="36" t="str">
        <x:v>Atalho Equipamento de internet</x:v>
      </x:c>
      <x:c r="E7" s="36" t="str">
        <x:v>Navegação</x:v>
      </x:c>
      <x:c r="F7" s="52" t="str">
        <x:v>P0</x:v>
      </x:c>
      <x:c r="G7" s="36" t="str">
        <x:v>Hub aberto</x:v>
      </x:c>
      <x:c r="H7" s="36" t="str">
        <x:v>1. Tocar Equipamento de internet
2. Observar loading/estado
3. Voltar</x:v>
      </x:c>
      <x:c r="I7" s="36" t="str">
        <x:v>Abre EquipamentoInternetScreen atual, não a antiga FibraModemScreen Nokia-only.</x:v>
      </x:c>
      <x:c r="J7" s="36" t="str">
        <x:v>Commit 4e2dd55cb16662dba3dec8c67599ee422942ccc8</x:v>
      </x:c>
      <x:c r="K7" s="36" t="str">
        <x:v>Equipamento de internet</x:v>
      </x:c>
      <x:c r="L7" s="52" t="n">
        <x:v>285</x:v>
      </x:c>
      <x:c r="M7" s="52" t="n">
        <x:v>215</x:v>
      </x:c>
      <x:c r="N7" s="52" t="n">
        <x:f>IF(L7="","",ROUND(L7*'00_Leia_Primeiro'!$B$15/'00_Leia_Primeiro'!$B$13,0))</x:f>
        <x:v>285</x:v>
      </x:c>
      <x:c r="O7" s="52" t="n">
        <x:f>IF(M7="","",ROUND(M7*'00_Leia_Primeiro'!$B$16/'00_Leia_Primeiro'!$B$14,0))</x:f>
        <x:v>215</x:v>
      </x:c>
      <x:c r="P7" s="36" t="str">
        <x:v>text~Equipamento</x:v>
      </x:c>
      <x:c r="Q7" s="36" t="str">
        <x:v>Screenshot + logcat do período</x:v>
      </x:c>
      <x:c r="R7" s="52" t="str">
        <x:v>Não iniciado</x:v>
      </x:c>
      <x:c r="S7" s="36" t="str"/>
      <x:c r="T7" s="36" t="str"/>
      <x:c r="U7" s="36" t="str"/>
    </x:row>
    <x:row r="8" ht="78" customHeight="1">
      <x:c r="A8" s="52" t="n">
        <x:v>4</x:v>
      </x:c>
      <x:c r="B8" s="36" t="str">
        <x:v>TOOL-004</x:v>
      </x:c>
      <x:c r="C8" s="36" t="str">
        <x:v>Ferramentas</x:v>
      </x:c>
      <x:c r="D8" s="36" t="str">
        <x:v>Atalho Ping</x:v>
      </x:c>
      <x:c r="E8" s="36" t="str">
        <x:v>Navegação</x:v>
      </x:c>
      <x:c r="F8" s="52" t="str">
        <x:v>P1</x:v>
      </x:c>
      <x:c r="G8" s="36" t="str">
        <x:v>Hub aberto</x:v>
      </x:c>
      <x:c r="H8" s="36" t="str">
        <x:v>1. Tocar Ping
2. Fechar</x:v>
      </x:c>
      <x:c r="I8" s="36" t="str">
        <x:v>Abre PingScreenSheet e volta ao hub.</x:v>
      </x:c>
      <x:c r="J8" s="36" t="str">
        <x:v>AppShell Overlay.Ping</x:v>
      </x:c>
      <x:c r="K8" s="36" t="str">
        <x:v>Ping</x:v>
      </x:c>
      <x:c r="L8" s="52" t="n">
        <x:v>105</x:v>
      </x:c>
      <x:c r="M8" s="52" t="n">
        <x:v>350</x:v>
      </x:c>
      <x:c r="N8" s="52" t="n">
        <x:f>IF(L8="","",ROUND(L8*'00_Leia_Primeiro'!$B$15/'00_Leia_Primeiro'!$B$13,0))</x:f>
        <x:v>105</x:v>
      </x:c>
      <x:c r="O8" s="52" t="n">
        <x:f>IF(M8="","",ROUND(M8*'00_Leia_Primeiro'!$B$16/'00_Leia_Primeiro'!$B$14,0))</x:f>
        <x:v>350</x:v>
      </x:c>
      <x:c r="P8" s="36" t="str">
        <x:v>text=Ping</x:v>
      </x:c>
      <x:c r="Q8" s="36" t="str">
        <x:v>Screenshot + logcat do período</x:v>
      </x:c>
      <x:c r="R8" s="52" t="str">
        <x:v>Não iniciado</x:v>
      </x:c>
      <x:c r="S8" s="36" t="str"/>
      <x:c r="T8" s="36" t="str"/>
      <x:c r="U8" s="36" t="str"/>
    </x:row>
    <x:row r="9" ht="78" customHeight="1">
      <x:c r="A9" s="52" t="n">
        <x:v>5</x:v>
      </x:c>
      <x:c r="B9" s="36" t="str">
        <x:v>TOOL-005</x:v>
      </x:c>
      <x:c r="C9" s="36" t="str">
        <x:v>Ferramentas</x:v>
      </x:c>
      <x:c r="D9" s="36" t="str">
        <x:v>Atalho DNS</x:v>
      </x:c>
      <x:c r="E9" s="36" t="str">
        <x:v>Navegação</x:v>
      </x:c>
      <x:c r="F9" s="52" t="str">
        <x:v>P0</x:v>
      </x:c>
      <x:c r="G9" s="36" t="str">
        <x:v>Hub aberto</x:v>
      </x:c>
      <x:c r="H9" s="36" t="str">
        <x:v>1. Tocar DNS
2. Voltar</x:v>
      </x:c>
      <x:c r="I9" s="36" t="str">
        <x:v>Abre DnsScreen full-screen, não bottom sheet legado.</x:v>
      </x:c>
      <x:c r="J9" s="36" t="str">
        <x:v>Commit f81c3c... / Overlay.Dns</x:v>
      </x:c>
      <x:c r="K9" s="36" t="str">
        <x:v>DNS</x:v>
      </x:c>
      <x:c r="L9" s="52" t="n">
        <x:v>285</x:v>
      </x:c>
      <x:c r="M9" s="52" t="n">
        <x:v>350</x:v>
      </x:c>
      <x:c r="N9" s="52" t="n">
        <x:f>IF(L9="","",ROUND(L9*'00_Leia_Primeiro'!$B$15/'00_Leia_Primeiro'!$B$13,0))</x:f>
        <x:v>285</x:v>
      </x:c>
      <x:c r="O9" s="52" t="n">
        <x:f>IF(M9="","",ROUND(M9*'00_Leia_Primeiro'!$B$16/'00_Leia_Primeiro'!$B$14,0))</x:f>
        <x:v>350</x:v>
      </x:c>
      <x:c r="P9" s="36" t="str">
        <x:v>text=DNS</x:v>
      </x:c>
      <x:c r="Q9" s="36" t="str">
        <x:v>Screenshot + logcat do período</x:v>
      </x:c>
      <x:c r="R9" s="52" t="str">
        <x:v>Não iniciado</x:v>
      </x:c>
      <x:c r="S9" s="36" t="str"/>
      <x:c r="T9" s="36" t="str"/>
      <x:c r="U9" s="36" t="str"/>
    </x:row>
    <x:row r="10" ht="78" customHeight="1">
      <x:c r="A10" s="52" t="n">
        <x:v>6</x:v>
      </x:c>
      <x:c r="B10" s="36" t="str">
        <x:v>TOOL-006</x:v>
      </x:c>
      <x:c r="C10" s="36" t="str">
        <x:v>Ferramentas</x:v>
      </x:c>
      <x:c r="D10" s="36" t="str">
        <x:v>Atalho Laudo</x:v>
      </x:c>
      <x:c r="E10" s="36" t="str">
        <x:v>Navegação</x:v>
      </x:c>
      <x:c r="F10" s="52" t="str">
        <x:v>P0</x:v>
      </x:c>
      <x:c r="G10" s="36" t="str">
        <x:v>Hub aberto</x:v>
      </x:c>
      <x:c r="H10" s="36" t="str">
        <x:v>1. Tocar Laudo
2. Voltar</x:v>
      </x:c>
      <x:c r="I10" s="36" t="str">
        <x:v>Abre LaudoScreen; back volta ao hub.</x:v>
      </x:c>
      <x:c r="J10" s="36" t="str">
        <x:v>AppShell Overlay.Laudo</x:v>
      </x:c>
      <x:c r="K10" s="36" t="str">
        <x:v>Laudo</x:v>
      </x:c>
      <x:c r="L10" s="52" t="n">
        <x:v>105</x:v>
      </x:c>
      <x:c r="M10" s="52" t="n">
        <x:v>485</x:v>
      </x:c>
      <x:c r="N10" s="52" t="n">
        <x:f>IF(L10="","",ROUND(L10*'00_Leia_Primeiro'!$B$15/'00_Leia_Primeiro'!$B$13,0))</x:f>
        <x:v>105</x:v>
      </x:c>
      <x:c r="O10" s="52" t="n">
        <x:f>IF(M10="","",ROUND(M10*'00_Leia_Primeiro'!$B$16/'00_Leia_Primeiro'!$B$14,0))</x:f>
        <x:v>485</x:v>
      </x:c>
      <x:c r="P10" s="36" t="str">
        <x:v>text=Laudo</x:v>
      </x:c>
      <x:c r="Q10" s="36" t="str">
        <x:v>Screenshot + logcat do período</x:v>
      </x:c>
      <x:c r="R10" s="52" t="str">
        <x:v>Não iniciado</x:v>
      </x:c>
      <x:c r="S10" s="36" t="str"/>
      <x:c r="T10" s="36" t="str"/>
      <x:c r="U10" s="36" t="str"/>
    </x:row>
    <x:row r="11" ht="78" customHeight="1">
      <x:c r="A11" s="52" t="n">
        <x:v>7</x:v>
      </x:c>
      <x:c r="B11" s="36" t="str">
        <x:v>TOOL-007</x:v>
      </x:c>
      <x:c r="C11" s="36" t="str">
        <x:v>Ferramentas</x:v>
      </x:c>
      <x:c r="D11" s="36" t="str">
        <x:v>Atalho Monitoramento</x:v>
      </x:c>
      <x:c r="E11" s="36" t="str">
        <x:v>Navegação</x:v>
      </x:c>
      <x:c r="F11" s="52" t="str">
        <x:v>P1</x:v>
      </x:c>
      <x:c r="G11" s="36" t="str">
        <x:v>Hub aberto</x:v>
      </x:c>
      <x:c r="H11" s="36" t="str">
        <x:v>1. Tocar Monitoramento
2. Alterar um toggle e fechar
3. Reabrir</x:v>
      </x:c>
      <x:c r="I11" s="36" t="str">
        <x:v>Abre sheet único; estado é compartilhado com Perfil/Ajustes e persiste.</x:v>
      </x:c>
      <x:c r="J11" s="36" t="str">
        <x:v>AppShell showMonitoramentoSheet / commit b1c6d6</x:v>
      </x:c>
      <x:c r="K11" s="36" t="str">
        <x:v>Monitoramento</x:v>
      </x:c>
      <x:c r="L11" s="52" t="n">
        <x:v>285</x:v>
      </x:c>
      <x:c r="M11" s="52" t="n">
        <x:v>485</x:v>
      </x:c>
      <x:c r="N11" s="52" t="n">
        <x:f>IF(L11="","",ROUND(L11*'00_Leia_Primeiro'!$B$15/'00_Leia_Primeiro'!$B$13,0))</x:f>
        <x:v>285</x:v>
      </x:c>
      <x:c r="O11" s="52" t="n">
        <x:f>IF(M11="","",ROUND(M11*'00_Leia_Primeiro'!$B$16/'00_Leia_Primeiro'!$B$14,0))</x:f>
        <x:v>485</x:v>
      </x:c>
      <x:c r="P11" s="36" t="str">
        <x:v>text=Monitoramento</x:v>
      </x:c>
      <x:c r="Q11" s="36" t="str">
        <x:v>Screenshot + logcat do período</x:v>
      </x:c>
      <x:c r="R11" s="52" t="str">
        <x:v>Não iniciado</x:v>
      </x:c>
      <x:c r="S11" s="36" t="str"/>
      <x:c r="T11" s="36" t="str"/>
      <x:c r="U11" s="36" t="str"/>
    </x:row>
    <x:row r="12" ht="78" customHeight="1">
      <x:c r="A12" s="52" t="n">
        <x:v>8</x:v>
      </x:c>
      <x:c r="B12" s="36" t="str">
        <x:v>TOOL-008</x:v>
      </x:c>
      <x:c r="C12" s="36" t="str">
        <x:v>Ferramentas</x:v>
      </x:c>
      <x:c r="D12" s="36" t="str">
        <x:v>Atalho Jogos — gap conhecido</x:v>
      </x:c>
      <x:c r="E12" s="36" t="str">
        <x:v>Funcional</x:v>
      </x:c>
      <x:c r="F12" s="52" t="str">
        <x:v>P2</x:v>
      </x:c>
      <x:c r="G12" s="36" t="str">
        <x:v>Hub aberto</x:v>
      </x:c>
      <x:c r="H12" s="36" t="str">
        <x:v>1. Tocar Jogos
2. Registrar conteúdo e retorno</x:v>
      </x:c>
      <x:c r="I12" s="36" t="str">
        <x:v>Enquanto TODO #935 estiver aberto, pode exibir stub simples, mas não pode travar, mentir que teste foi feito ou quebrar navegação. Não abrir duplicata apenas por ser stub conhecido.</x:v>
      </x:c>
      <x:c r="J12" s="36" t="str">
        <x:v>AppShell.kt — TODO(#935) Fase 6</x:v>
      </x:c>
      <x:c r="K12" s="36" t="str">
        <x:v>Jogos</x:v>
      </x:c>
      <x:c r="L12" s="52" t="n">
        <x:v>105</x:v>
      </x:c>
      <x:c r="M12" s="52" t="n">
        <x:v>620</x:v>
      </x:c>
      <x:c r="N12" s="52" t="n">
        <x:f>IF(L12="","",ROUND(L12*'00_Leia_Primeiro'!$B$15/'00_Leia_Primeiro'!$B$13,0))</x:f>
        <x:v>105</x:v>
      </x:c>
      <x:c r="O12" s="52" t="n">
        <x:f>IF(M12="","",ROUND(M12*'00_Leia_Primeiro'!$B$16/'00_Leia_Primeiro'!$B$14,0))</x:f>
        <x:v>620</x:v>
      </x:c>
      <x:c r="P12" s="36" t="str">
        <x:v>text=Jogos</x:v>
      </x:c>
      <x:c r="Q12" s="36" t="str">
        <x:v>Screenshot + logcat do período</x:v>
      </x:c>
      <x:c r="R12" s="52" t="str">
        <x:v>Não iniciado</x:v>
      </x:c>
      <x:c r="S12" s="36" t="str"/>
      <x:c r="T12" s="36" t="str">
        <x:v>Gap conhecido; buscar issue #935 antes de registrar bug.</x:v>
      </x:c>
      <x:c r="U12" s="36" t="str"/>
    </x:row>
    <x:row r="13" ht="78" customHeight="1">
      <x:c r="A13" s="52" t="n">
        <x:v>9</x:v>
      </x:c>
      <x:c r="B13" s="36" t="str">
        <x:v>PERF-001</x:v>
      </x:c>
      <x:c r="C13" s="36" t="str">
        <x:v>Perfil/Ajustes</x:v>
      </x:c>
      <x:c r="D13" s="36" t="str">
        <x:v>Abrir via avatar</x:v>
      </x:c>
      <x:c r="E13" s="36" t="str">
        <x:v>Navegação</x:v>
      </x:c>
      <x:c r="F13" s="52" t="str">
        <x:v>P0</x:v>
      </x:c>
      <x:c r="G13" s="36" t="str">
        <x:v>Em uma aba com topbar/avatar</x:v>
      </x:c>
      <x:c r="H13" s="36" t="str">
        <x:v>1. Tocar avatar
2. Capturar tela</x:v>
      </x:c>
      <x:c r="I13" s="36" t="str">
        <x:v>Abre Perfil/Ajustes como overlay; não existe aba Ajustes na bottom nav.</x:v>
      </x:c>
      <x:c r="J13" s="36" t="str">
        <x:v>AppShell onAbrirPerfilOverlay</x:v>
      </x:c>
      <x:c r="K13" s="36" t="str">
        <x:v>Avatar</x:v>
      </x:c>
      <x:c r="L13" s="52" t="n">
        <x:v>28</x:v>
      </x:c>
      <x:c r="M13" s="52" t="n">
        <x:v>52</x:v>
      </x:c>
      <x:c r="N13" s="52" t="n">
        <x:f>IF(L13="","",ROUND(L13*'00_Leia_Primeiro'!$B$15/'00_Leia_Primeiro'!$B$13,0))</x:f>
        <x:v>28</x:v>
      </x:c>
      <x:c r="O13" s="52" t="n">
        <x:f>IF(M13="","",ROUND(M13*'00_Leia_Primeiro'!$B$16/'00_Leia_Primeiro'!$B$14,0))</x:f>
        <x:v>52</x:v>
      </x:c>
      <x:c r="P13" s="36" t="str">
        <x:v>contentDescription~perfil|avatar</x:v>
      </x:c>
      <x:c r="Q13" s="36" t="str">
        <x:v>Screenshot + logcat do período</x:v>
      </x:c>
      <x:c r="R13" s="52" t="str">
        <x:v>Não iniciado</x:v>
      </x:c>
      <x:c r="S13" s="36" t="str"/>
      <x:c r="T13" s="36" t="str"/>
      <x:c r="U13" s="36" t="str"/>
    </x:row>
    <x:row r="14" ht="78" customHeight="1">
      <x:c r="A14" s="52" t="n">
        <x:v>10</x:v>
      </x:c>
      <x:c r="B14" s="36" t="str">
        <x:v>PERF-002</x:v>
      </x:c>
      <x:c r="C14" s="36" t="str">
        <x:v>Perfil/Ajustes</x:v>
      </x:c>
      <x:c r="D14" s="36" t="str">
        <x:v>Hierarquia das seções</x:v>
      </x:c>
      <x:c r="E14" s="36" t="str">
        <x:v>Design</x:v>
      </x:c>
      <x:c r="F14" s="52" t="str">
        <x:v>P1</x:v>
      </x:c>
      <x:c r="G14" s="36" t="str">
        <x:v>Perfil aberto</x:v>
      </x:c>
      <x:c r="H14" s="36" t="str">
        <x:v>1. Rolar do topo ao fim
2. Mapear seções e linhas</x:v>
      </x:c>
      <x:c r="I14" s="36" t="str">
        <x:v>Perfil, Minha conexão, Aparência, Monitoramento/Notificações, Privacidade/Dados, Novidades e Sobre são legíveis, sem cards excessivos.</x:v>
      </x:c>
      <x:c r="J14" s="36" t="str">
        <x:v>C:\Users\luizg\Documents\7Agents\Claude Design\SignallQ Design System — AjustesScreen; AjustesScreen.kt</x:v>
      </x:c>
      <x:c r="K14" s="36" t="str"/>
      <x:c r="L14" s="52"/>
      <x:c r="M14" s="52"/>
      <x:c r="N14" s="52" t="str">
        <x:f>IF(L14="","",ROUND(L14*'00_Leia_Primeiro'!$B$15/'00_Leia_Primeiro'!$B$13,0))</x:f>
      </x:c>
      <x:c r="O14" s="52" t="str">
        <x:f>IF(M14="","",ROUND(M14*'00_Leia_Primeiro'!$B$16/'00_Leia_Primeiro'!$B$14,0))</x:f>
      </x:c>
      <x:c r="P14" s="36" t="str"/>
      <x:c r="Q14" s="36" t="str">
        <x:v>Screenshot + logcat do período</x:v>
      </x:c>
      <x:c r="R14" s="52" t="str">
        <x:v>Não iniciado</x:v>
      </x:c>
      <x:c r="S14" s="36" t="str"/>
      <x:c r="T14" s="36" t="str"/>
      <x:c r="U14" s="36" t="str"/>
    </x:row>
    <x:row r="15" ht="78" customHeight="1">
      <x:c r="A15" s="52" t="n">
        <x:v>11</x:v>
      </x:c>
      <x:c r="B15" s="36" t="str">
        <x:v>PERF-003</x:v>
      </x:c>
      <x:c r="C15" s="36" t="str">
        <x:v>Perfil/Ajustes</x:v>
      </x:c>
      <x:c r="D15" s="36" t="str">
        <x:v>Editar perfil</x:v>
      </x:c>
      <x:c r="E15" s="36" t="str">
        <x:v>Funcional</x:v>
      </x:c>
      <x:c r="F15" s="52" t="str">
        <x:v>P1</x:v>
      </x:c>
      <x:c r="G15" s="36" t="str">
        <x:v>Perfil aberto</x:v>
      </x:c>
      <x:c r="H15" s="36" t="str">
        <x:v>1. Abrir editar perfil
2. Alterar nome e foto se possível
3. Salvar
4. Reabrir</x:v>
      </x:c>
      <x:c r="I15" s="36" t="str">
        <x:v>Nome/foto são validados, refletidos no avatar e persistem; cancelar não altera.</x:v>
      </x:c>
      <x:c r="J15" s="36" t="str">
        <x:v>C:\Users\luizg\Documents\7Agents\Claude Design\SignallQ Design System — PerfilEditSheet</x:v>
      </x:c>
      <x:c r="K15" s="36" t="str">
        <x:v>Editar perfil</x:v>
      </x:c>
      <x:c r="L15" s="52" t="n">
        <x:v>195</x:v>
      </x:c>
      <x:c r="M15" s="52" t="n">
        <x:v>165</x:v>
      </x:c>
      <x:c r="N15" s="52" t="n">
        <x:f>IF(L15="","",ROUND(L15*'00_Leia_Primeiro'!$B$15/'00_Leia_Primeiro'!$B$13,0))</x:f>
        <x:v>195</x:v>
      </x:c>
      <x:c r="O15" s="52" t="n">
        <x:f>IF(M15="","",ROUND(M15*'00_Leia_Primeiro'!$B$16/'00_Leia_Primeiro'!$B$14,0))</x:f>
        <x:v>165</x:v>
      </x:c>
      <x:c r="P15" s="36" t="str">
        <x:v>text~Editar perfil</x:v>
      </x:c>
      <x:c r="Q15" s="36" t="str">
        <x:v>Screenshot + logcat do período</x:v>
      </x:c>
      <x:c r="R15" s="52" t="str">
        <x:v>Não iniciado</x:v>
      </x:c>
      <x:c r="S15" s="36" t="str"/>
      <x:c r="T15" s="36" t="str"/>
      <x:c r="U15" s="36" t="str"/>
    </x:row>
    <x:row r="16" ht="78" customHeight="1">
      <x:c r="A16" s="52" t="n">
        <x:v>12</x:v>
      </x:c>
      <x:c r="B16" s="36" t="str">
        <x:v>PERF-004</x:v>
      </x:c>
      <x:c r="C16" s="36" t="str">
        <x:v>Perfil/Ajustes</x:v>
      </x:c>
      <x:c r="D16" s="36" t="str">
        <x:v>Minha conexão</x:v>
      </x:c>
      <x:c r="E16" s="36" t="str">
        <x:v>Funcional</x:v>
      </x:c>
      <x:c r="F16" s="52" t="str">
        <x:v>P0</x:v>
      </x:c>
      <x:c r="G16" s="36" t="str">
        <x:v>Perfil aberto</x:v>
      </x:c>
      <x:c r="H16" s="36" t="str">
        <x:v>1. Abrir Minha conexão
2. Editar operadora, UF/cidade, download e upload contratados
3. Salvar
4. Reabrir</x:v>
      </x:c>
      <x:c r="I16" s="36" t="str">
        <x:v>Dados válidos persistem e alimentam diagnósticos/resultado; campos inválidos não salvam silenciosamente.</x:v>
      </x:c>
      <x:c r="J16" s="36" t="str">
        <x:v>C:\Users\luizg\Documents\7Agents\Claude Design\SignallQ Design System — MinhaConexaoSheet</x:v>
      </x:c>
      <x:c r="K16" s="36" t="str">
        <x:v>Minha conexão</x:v>
      </x:c>
      <x:c r="L16" s="52" t="n">
        <x:v>195</x:v>
      </x:c>
      <x:c r="M16" s="52" t="n">
        <x:v>280</x:v>
      </x:c>
      <x:c r="N16" s="52" t="n">
        <x:f>IF(L16="","",ROUND(L16*'00_Leia_Primeiro'!$B$15/'00_Leia_Primeiro'!$B$13,0))</x:f>
        <x:v>195</x:v>
      </x:c>
      <x:c r="O16" s="52" t="n">
        <x:f>IF(M16="","",ROUND(M16*'00_Leia_Primeiro'!$B$16/'00_Leia_Primeiro'!$B$14,0))</x:f>
        <x:v>280</x:v>
      </x:c>
      <x:c r="P16" s="36" t="str">
        <x:v>text=Minha conexão</x:v>
      </x:c>
      <x:c r="Q16" s="36" t="str">
        <x:v>Screenshot + logcat do período</x:v>
      </x:c>
      <x:c r="R16" s="52" t="str">
        <x:v>Não iniciado</x:v>
      </x:c>
      <x:c r="S16" s="36" t="str"/>
      <x:c r="T16" s="36" t="str"/>
      <x:c r="U16" s="36" t="str"/>
    </x:row>
    <x:row r="17" ht="78" customHeight="1">
      <x:c r="A17" s="52" t="n">
        <x:v>13</x:v>
      </x:c>
      <x:c r="B17" s="36" t="str">
        <x:v>PERF-005</x:v>
      </x:c>
      <x:c r="C17" s="36" t="str">
        <x:v>Perfil/Ajustes</x:v>
      </x:c>
      <x:c r="D17" s="36" t="str">
        <x:v>Teclado e scroll em formulários</x:v>
      </x:c>
      <x:c r="E17" s="36" t="str">
        <x:v>Design</x:v>
      </x:c>
      <x:c r="F17" s="52" t="str">
        <x:v>P1</x:v>
      </x:c>
      <x:c r="G17" s="36" t="str">
        <x:v>Minha conexão ou perfil edit aberto</x:v>
      </x:c>
      <x:c r="H17" s="36" t="str">
        <x:v>1. Focar último campo
2. Abrir teclado
3. Rolar e salvar</x:v>
      </x:c>
      <x:c r="I17" s="36" t="str">
        <x:v>Campo e CTA permanecem visíveis acima do IME; back fecha teclado antes da tela.</x:v>
      </x:c>
      <x:c r="J17" s="36" t="str">
        <x:v>Compose imePadding/bringIntoView</x:v>
      </x:c>
      <x:c r="K17" s="36" t="str"/>
      <x:c r="L17" s="52"/>
      <x:c r="M17" s="52"/>
      <x:c r="N17" s="52" t="str">
        <x:f>IF(L17="","",ROUND(L17*'00_Leia_Primeiro'!$B$15/'00_Leia_Primeiro'!$B$13,0))</x:f>
      </x:c>
      <x:c r="O17" s="52" t="str">
        <x:f>IF(M17="","",ROUND(M17*'00_Leia_Primeiro'!$B$16/'00_Leia_Primeiro'!$B$14,0))</x:f>
      </x:c>
      <x:c r="P17" s="36" t="str"/>
      <x:c r="Q17" s="36" t="str">
        <x:v>Screenshot + logcat do período</x:v>
      </x:c>
      <x:c r="R17" s="52" t="str">
        <x:v>Não iniciado</x:v>
      </x:c>
      <x:c r="S17" s="36" t="str"/>
      <x:c r="T17" s="36" t="str"/>
      <x:c r="U17" s="36" t="str"/>
    </x:row>
    <x:row r="18" ht="78" customHeight="1">
      <x:c r="A18" s="52" t="n">
        <x:v>14</x:v>
      </x:c>
      <x:c r="B18" s="36" t="str">
        <x:v>PERF-006</x:v>
      </x:c>
      <x:c r="C18" s="36" t="str">
        <x:v>Perfil/Ajustes</x:v>
      </x:c>
      <x:c r="D18" s="36" t="str">
        <x:v>Tema sistema/claro/escuro</x:v>
      </x:c>
      <x:c r="E18" s="36" t="str">
        <x:v>Funcional</x:v>
      </x:c>
      <x:c r="F18" s="52" t="str">
        <x:v>P0</x:v>
      </x:c>
      <x:c r="G18" s="36" t="str">
        <x:v>Perfil aberto</x:v>
      </x:c>
      <x:c r="H18" s="36" t="str">
        <x:v>1. Selecionar cada tema
2. Navegar por duas telas
3. Forçar parada e reabrir</x:v>
      </x:c>
      <x:c r="I18" s="36" t="str">
        <x:v>Tema muda imediatamente, segue sistema quando escolhido e persiste após reinício.</x:v>
      </x:c>
      <x:c r="J18" s="36" t="str">
        <x:v>onDefinirTemaSelecionado + SignallQTheme</x:v>
      </x:c>
      <x:c r="K18" s="36" t="str"/>
      <x:c r="L18" s="52"/>
      <x:c r="M18" s="52"/>
      <x:c r="N18" s="52" t="str">
        <x:f>IF(L18="","",ROUND(L18*'00_Leia_Primeiro'!$B$15/'00_Leia_Primeiro'!$B$13,0))</x:f>
      </x:c>
      <x:c r="O18" s="52" t="str">
        <x:f>IF(M18="","",ROUND(M18*'00_Leia_Primeiro'!$B$16/'00_Leia_Primeiro'!$B$14,0))</x:f>
      </x:c>
      <x:c r="P18" s="36" t="str"/>
      <x:c r="Q18" s="36" t="str">
        <x:v>Screenshot + logcat do período</x:v>
      </x:c>
      <x:c r="R18" s="52" t="str">
        <x:v>Não iniciado</x:v>
      </x:c>
      <x:c r="S18" s="36" t="str"/>
      <x:c r="T18" s="36" t="str"/>
      <x:c r="U18" s="36" t="str"/>
    </x:row>
    <x:row r="19" ht="78" customHeight="1">
      <x:c r="A19" s="52" t="n">
        <x:v>15</x:v>
      </x:c>
      <x:c r="B19" s="36" t="str">
        <x:v>PERF-007</x:v>
      </x:c>
      <x:c r="C19" s="36" t="str">
        <x:v>Perfil/Ajustes</x:v>
      </x:c>
      <x:c r="D19" s="36" t="str">
        <x:v>Análise avançada</x:v>
      </x:c>
      <x:c r="E19" s="36" t="str">
        <x:v>Funcional</x:v>
      </x:c>
      <x:c r="F19" s="52" t="str">
        <x:v>P2</x:v>
      </x:c>
      <x:c r="G19" s="36" t="str">
        <x:v>Opção disponível</x:v>
      </x:c>
      <x:c r="H19" s="36" t="str">
        <x:v>1. Alternar análise avançada
2. Abrir Laudo/Sinal
3. Reabrir app</x:v>
      </x:c>
      <x:c r="I19" s="36" t="str">
        <x:v>Toggle persiste e somente altera conteúdo previsto; não quebra fluxo base.</x:v>
      </x:c>
      <x:c r="J19" s="36" t="str">
        <x:v>onDefinirAnaliseAvancada</x:v>
      </x:c>
      <x:c r="K19" s="36" t="str"/>
      <x:c r="L19" s="52"/>
      <x:c r="M19" s="52"/>
      <x:c r="N19" s="52" t="str">
        <x:f>IF(L19="","",ROUND(L19*'00_Leia_Primeiro'!$B$15/'00_Leia_Primeiro'!$B$13,0))</x:f>
      </x:c>
      <x:c r="O19" s="52" t="str">
        <x:f>IF(M19="","",ROUND(M19*'00_Leia_Primeiro'!$B$16/'00_Leia_Primeiro'!$B$14,0))</x:f>
      </x:c>
      <x:c r="P19" s="36" t="str"/>
      <x:c r="Q19" s="36" t="str">
        <x:v>Screenshot + logcat do período</x:v>
      </x:c>
      <x:c r="R19" s="52" t="str">
        <x:v>Não iniciado</x:v>
      </x:c>
      <x:c r="S19" s="36" t="str"/>
      <x:c r="T19" s="36" t="str"/>
      <x:c r="U19" s="36" t="str"/>
    </x:row>
    <x:row r="20" ht="78" customHeight="1">
      <x:c r="A20" s="52" t="n">
        <x:v>16</x:v>
      </x:c>
      <x:c r="B20" s="36" t="str">
        <x:v>PERF-008</x:v>
      </x:c>
      <x:c r="C20" s="36" t="str">
        <x:v>Perfil/Ajustes</x:v>
      </x:c>
      <x:c r="D20" s="36" t="str">
        <x:v>Ativar monitoramento sem permissão de notificação</x:v>
      </x:c>
      <x:c r="E20" s="36" t="str">
        <x:v>Permissões</x:v>
      </x:c>
      <x:c r="F20" s="52" t="str">
        <x:v>P0</x:v>
      </x:c>
      <x:c r="G20" s="36" t="str">
        <x:v>Android 13+; POST_NOTIFICATIONS revogada</x:v>
      </x:c>
      <x:c r="H20" s="36" t="str">
        <x:v>1. Ativar monitoramento
2. Observar abertura de configurações
3. Voltar</x:v>
      </x:c>
      <x:c r="I20" s="36" t="str">
        <x:v>Abre ajustes do app para o usuário conceder permissão; app não entra em loop nem crasha; estado fica coerente com decisão atual.</x:v>
      </x:c>
      <x:c r="J20" s="36" t="str">
        <x:v>MainActivity commit e1aa9f3e</x:v>
      </x:c>
      <x:c r="K20" s="36" t="str">
        <x:v>Toggle Monitoramento</x:v>
      </x:c>
      <x:c r="L20" s="52" t="n">
        <x:v>345</x:v>
      </x:c>
      <x:c r="M20" s="52" t="n">
        <x:v>430</x:v>
      </x:c>
      <x:c r="N20" s="52" t="n">
        <x:f>IF(L20="","",ROUND(L20*'00_Leia_Primeiro'!$B$15/'00_Leia_Primeiro'!$B$13,0))</x:f>
        <x:v>345</x:v>
      </x:c>
      <x:c r="O20" s="52" t="n">
        <x:f>IF(M20="","",ROUND(M20*'00_Leia_Primeiro'!$B$16/'00_Leia_Primeiro'!$B$14,0))</x:f>
        <x:v>430</x:v>
      </x:c>
      <x:c r="P20" s="36" t="str">
        <x:v>text=Monitoramento</x:v>
      </x:c>
      <x:c r="Q20" s="36" t="str">
        <x:v>Screenshot + logcat do período</x:v>
      </x:c>
      <x:c r="R20" s="52" t="str">
        <x:v>Não iniciado</x:v>
      </x:c>
      <x:c r="S20" s="36" t="str"/>
      <x:c r="T20" s="36" t="str"/>
      <x:c r="U20" s="36" t="str"/>
    </x:row>
    <x:row r="21" ht="78" customHeight="1">
      <x:c r="A21" s="52" t="n">
        <x:v>17</x:v>
      </x:c>
      <x:c r="B21" s="36" t="str">
        <x:v>PERF-009</x:v>
      </x:c>
      <x:c r="C21" s="36" t="str">
        <x:v>Perfil/Ajustes</x:v>
      </x:c>
      <x:c r="D21" s="36" t="str">
        <x:v>Toggles de notificações</x:v>
      </x:c>
      <x:c r="E21" s="36" t="str">
        <x:v>Funcional</x:v>
      </x:c>
      <x:c r="F21" s="52" t="str">
        <x:v>P1</x:v>
      </x:c>
      <x:c r="G21" s="36" t="str">
        <x:v>Monitoramento disponível</x:v>
      </x:c>
      <x:c r="H21" s="36" t="str">
        <x:v>1. Alternar latência, DNS, RSSI e sem internet
2. Fechar/reabrir</x:v>
      </x:c>
      <x:c r="I21" s="36" t="str">
        <x:v>Cada toggle persiste independentemente e não altera os demais.</x:v>
      </x:c>
      <x:c r="J21" s="36" t="str">
        <x:v>AppShell notificacao*Ativa</x:v>
      </x:c>
      <x:c r="K21" s="36" t="str"/>
      <x:c r="L21" s="52"/>
      <x:c r="M21" s="52"/>
      <x:c r="N21" s="52" t="str">
        <x:f>IF(L21="","",ROUND(L21*'00_Leia_Primeiro'!$B$15/'00_Leia_Primeiro'!$B$13,0))</x:f>
      </x:c>
      <x:c r="O21" s="52" t="str">
        <x:f>IF(M21="","",ROUND(M21*'00_Leia_Primeiro'!$B$16/'00_Leia_Primeiro'!$B$14,0))</x:f>
      </x:c>
      <x:c r="P21" s="36" t="str"/>
      <x:c r="Q21" s="36" t="str">
        <x:v>Screenshot + logcat do período</x:v>
      </x:c>
      <x:c r="R21" s="52" t="str">
        <x:v>Não iniciado</x:v>
      </x:c>
      <x:c r="S21" s="36" t="str"/>
      <x:c r="T21" s="36" t="str"/>
      <x:c r="U21" s="36" t="str"/>
    </x:row>
    <x:row r="22" ht="78" customHeight="1">
      <x:c r="A22" s="52" t="n">
        <x:v>18</x:v>
      </x:c>
      <x:c r="B22" s="36" t="str">
        <x:v>PERF-010</x:v>
      </x:c>
      <x:c r="C22" s="36" t="str">
        <x:v>Perfil/Ajustes</x:v>
      </x:c>
      <x:c r="D22" s="36" t="str">
        <x:v>Alertas de qualidade</x:v>
      </x:c>
      <x:c r="E22" s="36" t="str">
        <x:v>Funcional</x:v>
      </x:c>
      <x:c r="F22" s="52" t="str">
        <x:v>P1</x:v>
      </x:c>
      <x:c r="G22" s="36" t="str">
        <x:v>Perfil aberto</x:v>
      </x:c>
      <x:c r="H22" s="36" t="str">
        <x:v>1. Abrir Alertas de qualidade
2. Alterar limite Mbps
3. Salvar e reabrir</x:v>
      </x:c>
      <x:c r="I22" s="36" t="str">
        <x:v>PreferenciasSheet abre; valor válido persiste; entrada inválida é rejeitada/orientada.</x:v>
      </x:c>
      <x:c r="J22" s="36" t="str">
        <x:v>Commit b1c6d6bcd88937224eea0be7eea2ab6d046ab34d</x:v>
      </x:c>
      <x:c r="K22" s="36" t="str"/>
      <x:c r="L22" s="52"/>
      <x:c r="M22" s="52"/>
      <x:c r="N22" s="52" t="str">
        <x:f>IF(L22="","",ROUND(L22*'00_Leia_Primeiro'!$B$15/'00_Leia_Primeiro'!$B$13,0))</x:f>
      </x:c>
      <x:c r="O22" s="52" t="str">
        <x:f>IF(M22="","",ROUND(M22*'00_Leia_Primeiro'!$B$16/'00_Leia_Primeiro'!$B$14,0))</x:f>
      </x:c>
      <x:c r="P22" s="36" t="str"/>
      <x:c r="Q22" s="36" t="str">
        <x:v>Screenshot + logcat do período</x:v>
      </x:c>
      <x:c r="R22" s="52" t="str">
        <x:v>Não iniciado</x:v>
      </x:c>
      <x:c r="S22" s="36" t="str"/>
      <x:c r="T22" s="36" t="str"/>
      <x:c r="U22" s="36" t="str"/>
    </x:row>
    <x:row r="23" ht="78" customHeight="1">
      <x:c r="A23" s="52" t="n">
        <x:v>19</x:v>
      </x:c>
      <x:c r="B23" s="36" t="str">
        <x:v>PERF-011</x:v>
      </x:c>
      <x:c r="C23" s="36" t="str">
        <x:v>Perfil/Ajustes</x:v>
      </x:c>
      <x:c r="D23" s="36" t="str">
        <x:v>Privacidade</x:v>
      </x:c>
      <x:c r="E23" s="36" t="str">
        <x:v>Navegação</x:v>
      </x:c>
      <x:c r="F23" s="52" t="str">
        <x:v>P0</x:v>
      </x:c>
      <x:c r="G23" s="36" t="str">
        <x:v>Perfil aberto</x:v>
      </x:c>
      <x:c r="H23" s="36" t="str">
        <x:v>1. Tocar Privacidade
2. Rolar e voltar</x:v>
      </x:c>
      <x:c r="I23" s="36" t="str">
        <x:v>Abre PrivacidadeScreen; back retorna ao mesmo ponto do Perfil.</x:v>
      </x:c>
      <x:c r="J23" s="36" t="str">
        <x:v>AppShell Overlay.Privacidade</x:v>
      </x:c>
      <x:c r="K23" s="36" t="str">
        <x:v>Privacidade</x:v>
      </x:c>
      <x:c r="L23" s="52" t="n">
        <x:v>195</x:v>
      </x:c>
      <x:c r="M23" s="52" t="n">
        <x:v>610</x:v>
      </x:c>
      <x:c r="N23" s="52" t="n">
        <x:f>IF(L23="","",ROUND(L23*'00_Leia_Primeiro'!$B$15/'00_Leia_Primeiro'!$B$13,0))</x:f>
        <x:v>195</x:v>
      </x:c>
      <x:c r="O23" s="52" t="n">
        <x:f>IF(M23="","",ROUND(M23*'00_Leia_Primeiro'!$B$16/'00_Leia_Primeiro'!$B$14,0))</x:f>
        <x:v>610</x:v>
      </x:c>
      <x:c r="P23" s="36" t="str">
        <x:v>text=Privacidade</x:v>
      </x:c>
      <x:c r="Q23" s="36" t="str">
        <x:v>Screenshot + logcat do período</x:v>
      </x:c>
      <x:c r="R23" s="52" t="str">
        <x:v>Não iniciado</x:v>
      </x:c>
      <x:c r="S23" s="36" t="str"/>
      <x:c r="T23" s="36" t="str"/>
      <x:c r="U23" s="36" t="str"/>
    </x:row>
    <x:row r="24" ht="78" customHeight="1">
      <x:c r="A24" s="52" t="n">
        <x:v>20</x:v>
      </x:c>
      <x:c r="B24" s="36" t="str">
        <x:v>PERF-012</x:v>
      </x:c>
      <x:c r="C24" s="36" t="str">
        <x:v>Perfil/Ajustes</x:v>
      </x:c>
      <x:c r="D24" s="36" t="str">
        <x:v>Novidades</x:v>
      </x:c>
      <x:c r="E24" s="36" t="str">
        <x:v>Navegação</x:v>
      </x:c>
      <x:c r="F24" s="52" t="str">
        <x:v>P1</x:v>
      </x:c>
      <x:c r="G24" s="36" t="str">
        <x:v>Perfil aberto</x:v>
      </x:c>
      <x:c r="H24" s="36" t="str">
        <x:v>1. Tocar Novidades
2. Validar versão/changelog
3. Voltar</x:v>
      </x:c>
      <x:c r="I24" s="36" t="str">
        <x:v>Abre NovidadesScreen com conteúdo da versão atual e navegação correta.</x:v>
      </x:c>
      <x:c r="J24" s="36" t="str">
        <x:v>AppShell Overlay.Novidades</x:v>
      </x:c>
      <x:c r="K24" s="36" t="str">
        <x:v>Novidades</x:v>
      </x:c>
      <x:c r="L24" s="52" t="n">
        <x:v>195</x:v>
      </x:c>
      <x:c r="M24" s="52" t="n">
        <x:v>675</x:v>
      </x:c>
      <x:c r="N24" s="52" t="n">
        <x:f>IF(L24="","",ROUND(L24*'00_Leia_Primeiro'!$B$15/'00_Leia_Primeiro'!$B$13,0))</x:f>
        <x:v>195</x:v>
      </x:c>
      <x:c r="O24" s="52" t="n">
        <x:f>IF(M24="","",ROUND(M24*'00_Leia_Primeiro'!$B$16/'00_Leia_Primeiro'!$B$14,0))</x:f>
        <x:v>675</x:v>
      </x:c>
      <x:c r="P24" s="36" t="str">
        <x:v>text=Novidades</x:v>
      </x:c>
      <x:c r="Q24" s="36" t="str">
        <x:v>Screenshot + logcat do período</x:v>
      </x:c>
      <x:c r="R24" s="52" t="str">
        <x:v>Não iniciado</x:v>
      </x:c>
      <x:c r="S24" s="36" t="str"/>
      <x:c r="T24" s="36" t="str"/>
      <x:c r="U24" s="36" t="str"/>
    </x:row>
    <x:row r="25" ht="78" customHeight="1">
      <x:c r="A25" s="52" t="n">
        <x:v>21</x:v>
      </x:c>
      <x:c r="B25" s="36" t="str">
        <x:v>PERF-013</x:v>
      </x:c>
      <x:c r="C25" s="36" t="str">
        <x:v>Perfil/Ajustes</x:v>
      </x:c>
      <x:c r="D25" s="36" t="str">
        <x:v>Gerenciar dados locais</x:v>
      </x:c>
      <x:c r="E25" s="36" t="str">
        <x:v>Funcional</x:v>
      </x:c>
      <x:c r="F25" s="52" t="str">
        <x:v>P0</x:v>
      </x:c>
      <x:c r="G25" s="36" t="str">
        <x:v>Dados/histórico existentes</x:v>
      </x:c>
      <x:c r="H25" s="36" t="str">
        <x:v>1. Abrir Gerenciar dados
2. Revisar ações
3. Cancelar uma destrutiva
4. Confirmar outra em massa de teste</x:v>
      </x:c>
      <x:c r="I25" s="36" t="str">
        <x:v>Ações são diferenciadas (histórico, dados locais, reset); exigem confirmação; cancelamento preserva dados; confirmação executa somente o escopo.</x:v>
      </x:c>
      <x:c r="J25" s="36" t="str">
        <x:v>C:\Users\luizg\Documents\7Agents\Claude Design\SignallQ Design System — DadosLocaisSheet</x:v>
      </x:c>
      <x:c r="K25" s="36" t="str">
        <x:v>Gerenciar dados</x:v>
      </x:c>
      <x:c r="L25" s="52" t="n">
        <x:v>195</x:v>
      </x:c>
      <x:c r="M25" s="52" t="n">
        <x:v>735</x:v>
      </x:c>
      <x:c r="N25" s="52" t="n">
        <x:f>IF(L25="","",ROUND(L25*'00_Leia_Primeiro'!$B$15/'00_Leia_Primeiro'!$B$13,0))</x:f>
        <x:v>195</x:v>
      </x:c>
      <x:c r="O25" s="52" t="n">
        <x:f>IF(M25="","",ROUND(M25*'00_Leia_Primeiro'!$B$16/'00_Leia_Primeiro'!$B$14,0))</x:f>
        <x:v>735</x:v>
      </x:c>
      <x:c r="P25" s="36" t="str">
        <x:v>text~dados</x:v>
      </x:c>
      <x:c r="Q25" s="36" t="str">
        <x:v>Screenshot + logcat do período</x:v>
      </x:c>
      <x:c r="R25" s="52" t="str">
        <x:v>Não iniciado</x:v>
      </x:c>
      <x:c r="S25" s="36" t="str"/>
      <x:c r="T25" s="36" t="str"/>
      <x:c r="U25" s="36" t="str"/>
    </x:row>
    <x:row r="26" ht="78" customHeight="1">
      <x:c r="A26" s="52" t="n">
        <x:v>22</x:v>
      </x:c>
      <x:c r="B26" s="36" t="str">
        <x:v>PERF-014</x:v>
      </x:c>
      <x:c r="C26" s="36" t="str">
        <x:v>Perfil/Ajustes</x:v>
      </x:c>
      <x:c r="D26" s="36" t="str">
        <x:v>Diagnóstico do app</x:v>
      </x:c>
      <x:c r="E26" s="36" t="str">
        <x:v>Funcional</x:v>
      </x:c>
      <x:c r="F26" s="52" t="str">
        <x:v>P1</x:v>
      </x:c>
      <x:c r="G26" s="36" t="str">
        <x:v>Opção disponível</x:v>
      </x:c>
      <x:c r="H26" s="36" t="str">
        <x:v>1. Abrir diagnóstico do app
2. Comparar versão, plataforma e integridade com ambiente</x:v>
      </x:c>
      <x:c r="I26" s="36" t="str">
        <x:v>Informações técnicas são corretas, copiáveis se previsto e não expõem segredo.</x:v>
      </x:c>
      <x:c r="J26" s="36" t="str">
        <x:v>C:\Users\luizg\Documents\7Agents\Claude Design\SignallQ Design System — DiagnosticoAppSheet</x:v>
      </x:c>
      <x:c r="K26" s="36" t="str"/>
      <x:c r="L26" s="52"/>
      <x:c r="M26" s="52"/>
      <x:c r="N26" s="52" t="str">
        <x:f>IF(L26="","",ROUND(L26*'00_Leia_Primeiro'!$B$15/'00_Leia_Primeiro'!$B$13,0))</x:f>
      </x:c>
      <x:c r="O26" s="52" t="str">
        <x:f>IF(M26="","",ROUND(M26*'00_Leia_Primeiro'!$B$16/'00_Leia_Primeiro'!$B$14,0))</x:f>
      </x:c>
      <x:c r="P26" s="36" t="str"/>
      <x:c r="Q26" s="36" t="str">
        <x:v>Screenshot + logcat do período</x:v>
      </x:c>
      <x:c r="R26" s="52" t="str">
        <x:v>Não iniciado</x:v>
      </x:c>
      <x:c r="S26" s="36" t="str"/>
      <x:c r="T26" s="36" t="str"/>
      <x:c r="U26" s="36" t="str"/>
    </x:row>
    <x:row r="27" ht="78" customHeight="1">
      <x:c r="A27" s="52" t="n">
        <x:v>23</x:v>
      </x:c>
      <x:c r="B27" s="36" t="str">
        <x:v>PERF-015</x:v>
      </x:c>
      <x:c r="C27" s="36" t="str">
        <x:v>Perfil/Ajustes</x:v>
      </x:c>
      <x:c r="D27" s="36" t="str">
        <x:v>Versão exibida</x:v>
      </x:c>
      <x:c r="E27" s="36" t="str">
        <x:v>Funcional</x:v>
      </x:c>
      <x:c r="F27" s="52" t="str">
        <x:v>P1</x:v>
      </x:c>
      <x:c r="G27" s="36" t="str">
        <x:v>Perfil aberto</x:v>
      </x:c>
      <x:c r="H27" s="36" t="str">
        <x:v>1. Comparar versão mostrada com dumpsys/package ou BuildConfig</x:v>
      </x:c>
      <x:c r="I27" s="36" t="str">
        <x:v>versionName/versionCode correspondem ao APK em teste.</x:v>
      </x:c>
      <x:c r="J27" s="36" t="str">
        <x:v>BuildConfig.VERSION_NAME</x:v>
      </x:c>
      <x:c r="K27" s="36" t="str"/>
      <x:c r="L27" s="52"/>
      <x:c r="M27" s="52"/>
      <x:c r="N27" s="52" t="str">
        <x:f>IF(L27="","",ROUND(L27*'00_Leia_Primeiro'!$B$15/'00_Leia_Primeiro'!$B$13,0))</x:f>
      </x:c>
      <x:c r="O27" s="52" t="str">
        <x:f>IF(M27="","",ROUND(M27*'00_Leia_Primeiro'!$B$16/'00_Leia_Primeiro'!$B$14,0))</x:f>
      </x:c>
      <x:c r="P27" s="36" t="str"/>
      <x:c r="Q27" s="36" t="str">
        <x:v>Screenshot + logcat do período</x:v>
      </x:c>
      <x:c r="R27" s="52" t="str">
        <x:v>Não iniciado</x:v>
      </x:c>
      <x:c r="S27" s="36" t="str"/>
      <x:c r="T27" s="36" t="str"/>
      <x:c r="U27" s="36" t="str"/>
    </x:row>
    <x:row r="28" ht="78" customHeight="1">
      <x:c r="A28" s="52" t="n">
        <x:v>24</x:v>
      </x:c>
      <x:c r="B28" s="36" t="str">
        <x:v>PERF-016</x:v>
      </x:c>
      <x:c r="C28" s="36" t="str">
        <x:v>Perfil/Ajustes</x:v>
      </x:c>
      <x:c r="D28" s="36" t="str">
        <x:v>Back e preservação de estado</x:v>
      </x:c>
      <x:c r="E28" s="36" t="str">
        <x:v>Navegação</x:v>
      </x:c>
      <x:c r="F28" s="52" t="str">
        <x:v>P1</x:v>
      </x:c>
      <x:c r="G28" s="36" t="str">
        <x:v>Perfil rolado e sheet aberto</x:v>
      </x:c>
      <x:c r="H28" s="36" t="str">
        <x:v>1. Fechar sheet
2. Pressionar back no Perfil</x:v>
      </x:c>
      <x:c r="I28" s="36" t="str">
        <x:v>Retorna à aba chamadora, sem resetar seleção da aba; não fecha o app abruptamente.</x:v>
      </x:c>
      <x:c r="J28" s="36" t="str">
        <x:v>overlayStack</x:v>
      </x:c>
      <x:c r="K28" s="36" t="str"/>
      <x:c r="L28" s="52"/>
      <x:c r="M28" s="52"/>
      <x:c r="N28" s="52" t="str">
        <x:f>IF(L28="","",ROUND(L28*'00_Leia_Primeiro'!$B$15/'00_Leia_Primeiro'!$B$13,0))</x:f>
      </x:c>
      <x:c r="O28" s="52" t="str">
        <x:f>IF(M28="","",ROUND(M28*'00_Leia_Primeiro'!$B$16/'00_Leia_Primeiro'!$B$14,0))</x:f>
      </x:c>
      <x:c r="P28" s="36" t="str"/>
      <x:c r="Q28" s="36" t="str">
        <x:v>Screenshot + logcat do período</x:v>
      </x:c>
      <x:c r="R28" s="52" t="str">
        <x:v>Não iniciado</x:v>
      </x:c>
      <x:c r="S28" s="36" t="str"/>
      <x:c r="T28" s="36" t="str"/>
      <x:c r="U28" s="36" t="str"/>
    </x:row>
  </x:sheetData>
  <x:mergeCells>
    <x:mergeCell ref="A1:U1"/>
    <x:mergeCell ref="A2:U2"/>
  </x:mergeCells>
  <x:conditionalFormatting sqref="R5:R28">
    <x:cfRule type="expression" dxfId="35" priority="1">
      <x:formula>R5="Passou"</x:formula>
    </x:cfRule>
    <x:cfRule type="expression" dxfId="36" priority="2">
      <x:formula>R5="Falhou"</x:formula>
    </x:cfRule>
    <x:cfRule type="expression" dxfId="37" priority="3">
      <x:formula>R5="Bloqueado"</x:formula>
    </x:cfRule>
    <x:cfRule type="expression" dxfId="38" priority="4">
      <x:formula>R5="Em execução"</x:formula>
    </x:cfRule>
    <x:cfRule type="expression" dxfId="39" priority="5">
      <x:formula>R5="N/A"</x:formula>
    </x:cfRule>
  </x:conditionalFormatting>
  <x:conditionalFormatting sqref="F5:F28">
    <x:cfRule type="expression" dxfId="40" priority="6">
      <x:formula>F5="P0"</x:formula>
    </x:cfRule>
    <x:cfRule type="expression" dxfId="41" priority="7">
      <x:formula>F5="P1"</x:formula>
    </x:cfRule>
  </x:conditionalFormatting>
  <x:dataValidations count="2">
    <x:dataValidation type="list" sqref="F5:F28">
      <x:formula1>"P0,P1,P2,P3"</x:formula1>
    </x:dataValidation>
    <x:dataValidation type="list" sqref="R5:R28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ed6d923fad425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7" hidden="0" customWidth="1"/>
    <x:col min="5" max="5" width="16" hidden="0" customWidth="1"/>
    <x:col min="6" max="6" width="10" hidden="0" customWidth="1"/>
    <x:col min="7" max="7" width="34" hidden="0" customWidth="1"/>
    <x:col min="8" max="8" width="48" hidden="0" customWidth="1"/>
    <x:col min="9" max="9" width="48" hidden="0" customWidth="1"/>
    <x:col min="10" max="10" width="42" hidden="0" customWidth="1"/>
    <x:col min="11" max="11" width="24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32" hidden="0" customWidth="1"/>
    <x:col min="17" max="17" width="28" hidden="0" customWidth="1"/>
    <x:col min="18" max="18" width="16" hidden="0" customWidth="1"/>
    <x:col min="19" max="19" width="20" hidden="0" customWidth="1"/>
    <x:col min="20" max="20" width="34" hidden="0" customWidth="1"/>
    <x:col min="21" max="21" width="27" hidden="0" customWidth="1"/>
  </x:cols>
  <x:sheetData>
    <x:row r="1" ht="32" customHeight="1">
      <x:c r="A1" s="5" t="str">
        <x:v>Telas sobrepostas, detalhes e estados de erro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3" t="str">
        <x:v>Execute em ordem. Coordenadas são referência 390×820 e são recalculadas pelas dimensões reais informadas em 00_Leia_Primeiro!B15:B16. Use seletor semântico antes de tap por coordenada.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</x:row>
    <x:row r="4" ht="44" customHeight="1">
      <x:c r="A4" s="28" t="str">
        <x:v>Ordem</x:v>
      </x:c>
      <x:c r="B4" s="28" t="str">
        <x:v>ID</x:v>
      </x:c>
      <x:c r="C4" s="28" t="str">
        <x:v>Tela / componente</x:v>
      </x:c>
      <x:c r="D4" s="28" t="str">
        <x:v>Estado / cenário</x:v>
      </x:c>
      <x:c r="E4" s="28" t="str">
        <x:v>Categoria</x:v>
      </x:c>
      <x:c r="F4" s="28" t="str">
        <x:v>Prioridade</x:v>
      </x:c>
      <x:c r="G4" s="28" t="str">
        <x:v>Pré-condições</x:v>
      </x:c>
      <x:c r="H4" s="28" t="str">
        <x:v>Passo a passo</x:v>
      </x:c>
      <x:c r="I4" s="28" t="str">
        <x:v>Resultado esperado</x:v>
      </x:c>
      <x:c r="J4" s="28" t="str">
        <x:v>Referência design / código</x:v>
      </x:c>
      <x:c r="K4" s="28" t="str">
        <x:v>Ação / alvo</x:v>
      </x:c>
      <x:c r="L4" s="28" t="str">
        <x:v>X base 390</x:v>
      </x:c>
      <x:c r="M4" s="28" t="str">
        <x:v>Y base 820</x:v>
      </x:c>
      <x:c r="N4" s="28" t="str">
        <x:v>X device</x:v>
      </x:c>
      <x:c r="O4" s="28" t="str">
        <x:v>Y device</x:v>
      </x:c>
      <x:c r="P4" s="28" t="str">
        <x:v>Seletor preferencial</x:v>
      </x:c>
      <x:c r="Q4" s="28" t="str">
        <x:v>Evidência esperada</x:v>
      </x:c>
      <x:c r="R4" s="28" t="str">
        <x:v>Status</x:v>
      </x:c>
      <x:c r="S4" s="28" t="str">
        <x:v>Bug GitHub</x:v>
      </x:c>
      <x:c r="T4" s="28" t="str">
        <x:v>Observações</x:v>
      </x:c>
      <x:c r="U4" s="28" t="str">
        <x:v>Bloqueador / dependência</x:v>
      </x:c>
    </x:row>
    <x:row r="5" ht="78" customHeight="1">
      <x:c r="A5" s="52" t="n">
        <x:v>1</x:v>
      </x:c>
      <x:c r="B5" s="36" t="str">
        <x:v>DEV-001</x:v>
      </x:c>
      <x:c r="C5" s="36" t="str">
        <x:v>Dispositivos</x:v>
      </x:c>
      <x:c r="D5" s="36" t="str">
        <x:v>Loading e atualização manual</x:v>
      </x:c>
      <x:c r="E5" s="36" t="str">
        <x:v>Funcional</x:v>
      </x:c>
      <x:c r="F5" s="52" t="str">
        <x:v>P0</x:v>
      </x:c>
      <x:c r="G5" s="36" t="str">
        <x:v>Wi-Fi conectado e permissão concedida</x:v>
      </x:c>
      <x:c r="H5" s="36" t="str">
        <x:v>1. Abrir Dispositivos
2. Aguardar fim do scan
3. Alterar rede/cliente
4. Verificar que só atualiza ao acionar botão atualizar
5. Tocar atualizar</x:v>
      </x:c>
      <x:c r="I5" s="36" t="str">
        <x:v>Tela não faz refresh destrutivo contínuo; botão atualizar no topo executa novo scan e reflete mudança.</x:v>
      </x:c>
      <x:c r="J5" s="36" t="str">
        <x:v>Requisito atual — dispositivos com atualização manual</x:v>
      </x:c>
      <x:c r="K5" s="36" t="str">
        <x:v>Atualizar</x:v>
      </x:c>
      <x:c r="L5" s="52" t="n">
        <x:v>360</x:v>
      </x:c>
      <x:c r="M5" s="52" t="n">
        <x:v>52</x:v>
      </x:c>
      <x:c r="N5" s="52" t="n">
        <x:f>IF(L5="","",ROUND(L5*'00_Leia_Primeiro'!$B$15/'00_Leia_Primeiro'!$B$13,0))</x:f>
        <x:v>360</x:v>
      </x:c>
      <x:c r="O5" s="52" t="n">
        <x:f>IF(M5="","",ROUND(M5*'00_Leia_Primeiro'!$B$16/'00_Leia_Primeiro'!$B$14,0))</x:f>
        <x:v>52</x:v>
      </x:c>
      <x:c r="P5" s="36" t="str">
        <x:v>contentDescription~Atualizar</x:v>
      </x:c>
      <x:c r="Q5" s="36" t="str">
        <x:v>Screenshot + logcat do período</x:v>
      </x:c>
      <x:c r="R5" s="52" t="str">
        <x:v>Não iniciado</x:v>
      </x:c>
      <x:c r="S5" s="36" t="str"/>
      <x:c r="T5" s="36" t="str"/>
      <x:c r="U5" s="36" t="str"/>
    </x:row>
    <x:row r="6" ht="78" customHeight="1">
      <x:c r="A6" s="52" t="n">
        <x:v>2</x:v>
      </x:c>
      <x:c r="B6" s="36" t="str">
        <x:v>DEV-002</x:v>
      </x:c>
      <x:c r="C6" s="36" t="str">
        <x:v>Dispositivos</x:v>
      </x:c>
      <x:c r="D6" s="36" t="str">
        <x:v>Lista agrupada</x:v>
      </x:c>
      <x:c r="E6" s="36" t="str">
        <x:v>Design</x:v>
      </x:c>
      <x:c r="F6" s="52" t="str">
        <x:v>P1</x:v>
      </x:c>
      <x:c r="G6" s="36" t="str">
        <x:v>Gateway/AP/clientes detectados</x:v>
      </x:c>
      <x:c r="H6" s="36" t="str">
        <x:v>1. Abrir tela
2. Comparar agrupamentos e contagem</x:v>
      </x:c>
      <x:c r="I6" s="36" t="str">
        <x:v>Gateway, mesh/AP e clientes aparecem em grupos compreensíveis; cards/list rows seguem MD3; sem duplicata óbvia.</x:v>
      </x:c>
      <x:c r="J6" s="36" t="str">
        <x:v>C:\Users\luizg\Documents\7Agents\Claude Design\SignallQ Design System — DispositivosScreen</x:v>
      </x:c>
      <x:c r="K6" s="36" t="str"/>
      <x:c r="L6" s="52"/>
      <x:c r="M6" s="52"/>
      <x:c r="N6" s="52" t="str">
        <x:f>IF(L6="","",ROUND(L6*'00_Leia_Primeiro'!$B$15/'00_Leia_Primeiro'!$B$13,0))</x:f>
      </x:c>
      <x:c r="O6" s="52" t="str">
        <x:f>IF(M6="","",ROUND(M6*'00_Leia_Primeiro'!$B$16/'00_Leia_Primeiro'!$B$14,0))</x:f>
      </x:c>
      <x:c r="P6" s="36" t="str"/>
      <x:c r="Q6" s="36" t="str">
        <x:v>Screenshot + logcat do período</x:v>
      </x:c>
      <x:c r="R6" s="52" t="str">
        <x:v>Não iniciado</x:v>
      </x:c>
      <x:c r="S6" s="36" t="str"/>
      <x:c r="T6" s="36" t="str"/>
      <x:c r="U6" s="36" t="str"/>
    </x:row>
    <x:row r="7" ht="78" customHeight="1">
      <x:c r="A7" s="52" t="n">
        <x:v>3</x:v>
      </x:c>
      <x:c r="B7" s="36" t="str">
        <x:v>DEV-003</x:v>
      </x:c>
      <x:c r="C7" s="36" t="str">
        <x:v>Dispositivos</x:v>
      </x:c>
      <x:c r="D7" s="36" t="str">
        <x:v>Estado vazio</x:v>
      </x:c>
      <x:c r="E7" s="36" t="str">
        <x:v>Funcional</x:v>
      </x:c>
      <x:c r="F7" s="52" t="str">
        <x:v>P1</x:v>
      </x:c>
      <x:c r="G7" s="36" t="str">
        <x:v>Scan concluído sem clientes</x:v>
      </x:c>
      <x:c r="H7" s="36" t="str">
        <x:v>1. Abrir visão vazia</x:v>
      </x:c>
      <x:c r="I7" s="36" t="str">
        <x:v>Mostra estado vazio honesto e ação de atualizar; não indica erro.</x:v>
      </x:c>
      <x:c r="J7" s="36" t="str">
        <x:v>C:\Users\luizg\Documents\7Agents\Claude Design\SignallQ Design System — DispositivosScreen vazio</x:v>
      </x:c>
      <x:c r="K7" s="36" t="str"/>
      <x:c r="L7" s="52"/>
      <x:c r="M7" s="52"/>
      <x:c r="N7" s="52" t="str">
        <x:f>IF(L7="","",ROUND(L7*'00_Leia_Primeiro'!$B$15/'00_Leia_Primeiro'!$B$13,0))</x:f>
      </x:c>
      <x:c r="O7" s="52" t="str">
        <x:f>IF(M7="","",ROUND(M7*'00_Leia_Primeiro'!$B$16/'00_Leia_Primeiro'!$B$14,0))</x:f>
      </x:c>
      <x:c r="P7" s="36" t="str"/>
      <x:c r="Q7" s="36" t="str">
        <x:v>Screenshot + logcat do período</x:v>
      </x:c>
      <x:c r="R7" s="52" t="str">
        <x:v>Não iniciado</x:v>
      </x:c>
      <x:c r="S7" s="36" t="str"/>
      <x:c r="T7" s="36" t="str"/>
      <x:c r="U7" s="36" t="str"/>
    </x:row>
    <x:row r="8" ht="78" customHeight="1">
      <x:c r="A8" s="52" t="n">
        <x:v>4</x:v>
      </x:c>
      <x:c r="B8" s="36" t="str">
        <x:v>DEV-004</x:v>
      </x:c>
      <x:c r="C8" s="36" t="str">
        <x:v>Dispositivos</x:v>
      </x:c>
      <x:c r="D8" s="36" t="str">
        <x:v>Erro de scan/sem Wi-Fi</x:v>
      </x:c>
      <x:c r="E8" s="36" t="str">
        <x:v>Erro</x:v>
      </x:c>
      <x:c r="F8" s="52" t="str">
        <x:v>P0</x:v>
      </x:c>
      <x:c r="G8" s="36" t="str">
        <x:v>Wi-Fi desligado ou scan falhando</x:v>
      </x:c>
      <x:c r="H8" s="36" t="str">
        <x:v>1. Abrir tela
2. Tentar atualizar</x:v>
      </x:c>
      <x:c r="I8" s="36" t="str">
        <x:v>Estado explica que precisa de Wi-Fi/permissão; retry funciona; sem spinner infinito.</x:v>
      </x:c>
      <x:c r="J8" s="36" t="str">
        <x:v>C:\Users\luizg\Documents\7Agents\Claude Design\SignallQ Design System — DispositivosScreen erro</x:v>
      </x:c>
      <x:c r="K8" s="36" t="str"/>
      <x:c r="L8" s="52"/>
      <x:c r="M8" s="52"/>
      <x:c r="N8" s="52" t="str">
        <x:f>IF(L8="","",ROUND(L8*'00_Leia_Primeiro'!$B$15/'00_Leia_Primeiro'!$B$13,0))</x:f>
      </x:c>
      <x:c r="O8" s="52" t="str">
        <x:f>IF(M8="","",ROUND(M8*'00_Leia_Primeiro'!$B$16/'00_Leia_Primeiro'!$B$14,0))</x:f>
      </x:c>
      <x:c r="P8" s="36" t="str"/>
      <x:c r="Q8" s="36" t="str">
        <x:v>Screenshot + logcat do período</x:v>
      </x:c>
      <x:c r="R8" s="52" t="str">
        <x:v>Não iniciado</x:v>
      </x:c>
      <x:c r="S8" s="36" t="str"/>
      <x:c r="T8" s="36" t="str"/>
      <x:c r="U8" s="36" t="str"/>
    </x:row>
    <x:row r="9" ht="78" customHeight="1">
      <x:c r="A9" s="52" t="n">
        <x:v>5</x:v>
      </x:c>
      <x:c r="B9" s="36" t="str">
        <x:v>DEV-005</x:v>
      </x:c>
      <x:c r="C9" s="36" t="str">
        <x:v>Dispositivos</x:v>
      </x:c>
      <x:c r="D9" s="36" t="str">
        <x:v>Detalhe do dispositivo</x:v>
      </x:c>
      <x:c r="E9" s="36" t="str">
        <x:v>Funcional</x:v>
      </x:c>
      <x:c r="F9" s="52" t="str">
        <x:v>P1</x:v>
      </x:c>
      <x:c r="G9" s="36" t="str">
        <x:v>Item detectado</x:v>
      </x:c>
      <x:c r="H9" s="36" t="str">
        <x:v>1. Tocar no item
2. Validar nome/tipo/IP/MAC quando permitido/fabricante/atividade
3. Fechar</x:v>
      </x:c>
      <x:c r="I9" s="36" t="str">
        <x:v>DeviceDetailSheet usa apenas dados disponíveis; classificação cautelosa; dados sensíveis tratados corretamente.</x:v>
      </x:c>
      <x:c r="J9" s="36" t="str">
        <x:v>C:\Users\luizg\Documents\7Agents\Claude Design\SignallQ Design System — DeviceDetailSheet</x:v>
      </x:c>
      <x:c r="K9" s="36" t="str">
        <x:v>Item dispositivo</x:v>
      </x:c>
      <x:c r="L9" s="52" t="n">
        <x:v>195</x:v>
      </x:c>
      <x:c r="M9" s="52" t="n">
        <x:v>360</x:v>
      </x:c>
      <x:c r="N9" s="52" t="n">
        <x:f>IF(L9="","",ROUND(L9*'00_Leia_Primeiro'!$B$15/'00_Leia_Primeiro'!$B$13,0))</x:f>
        <x:v>195</x:v>
      </x:c>
      <x:c r="O9" s="52" t="n">
        <x:f>IF(M9="","",ROUND(M9*'00_Leia_Primeiro'!$B$16/'00_Leia_Primeiro'!$B$14,0))</x:f>
        <x:v>360</x:v>
      </x:c>
      <x:c r="P9" s="36" t="str">
        <x:v>text~192.168|dispositivo</x:v>
      </x:c>
      <x:c r="Q9" s="36" t="str">
        <x:v>Screenshot + logcat do período</x:v>
      </x:c>
      <x:c r="R9" s="52" t="str">
        <x:v>Não iniciado</x:v>
      </x:c>
      <x:c r="S9" s="36" t="str"/>
      <x:c r="T9" s="36" t="str"/>
      <x:c r="U9" s="36" t="str"/>
    </x:row>
    <x:row r="10" ht="78" customHeight="1">
      <x:c r="A10" s="52" t="n">
        <x:v>6</x:v>
      </x:c>
      <x:c r="B10" s="36" t="str">
        <x:v>DEV-006</x:v>
      </x:c>
      <x:c r="C10" s="36" t="str">
        <x:v>Dispositivos</x:v>
      </x:c>
      <x:c r="D10" s="36" t="str">
        <x:v>Conexão física e papel na rede</x:v>
      </x:c>
      <x:c r="E10" s="36" t="str">
        <x:v>Funcional</x:v>
      </x:c>
      <x:c r="F10" s="52" t="str">
        <x:v>P0</x:v>
      </x:c>
      <x:c r="G10" s="36" t="str">
        <x:v>Correlação forte por ClientSnapshot/MAC exato</x:v>
      </x:c>
      <x:c r="H10" s="36" t="str">
        <x:v>1. Abrir detalhe do dispositivo correlacionado
2. Verificar linhas adicionais</x:v>
      </x:c>
      <x:c r="I10" s="36" t="str">
        <x:v>Exibe Conexão física e Papel na rede somente quando correlação forte; correlação por OUI fraca não é apresentada como confirmação.</x:v>
      </x:c>
      <x:c r="J10" s="36" t="str">
        <x:v>Commit 96e6505da50375d35c93b420ceca35777d16a92d</x:v>
      </x:c>
      <x:c r="K10" s="36" t="str"/>
      <x:c r="L10" s="52"/>
      <x:c r="M10" s="52"/>
      <x:c r="N10" s="52" t="str">
        <x:f>IF(L10="","",ROUND(L10*'00_Leia_Primeiro'!$B$15/'00_Leia_Primeiro'!$B$13,0))</x:f>
      </x:c>
      <x:c r="O10" s="52" t="str">
        <x:f>IF(M10="","",ROUND(M10*'00_Leia_Primeiro'!$B$16/'00_Leia_Primeiro'!$B$14,0))</x:f>
      </x:c>
      <x:c r="P10" s="36" t="str"/>
      <x:c r="Q10" s="36" t="str">
        <x:v>Screenshot + logcat do período</x:v>
      </x:c>
      <x:c r="R10" s="52" t="str">
        <x:v>Não iniciado</x:v>
      </x:c>
      <x:c r="S10" s="36" t="str"/>
      <x:c r="T10" s="36" t="str"/>
      <x:c r="U10" s="36" t="str"/>
    </x:row>
    <x:row r="11" ht="78" customHeight="1">
      <x:c r="A11" s="52" t="n">
        <x:v>7</x:v>
      </x:c>
      <x:c r="B11" s="36" t="str">
        <x:v>DEV-007</x:v>
      </x:c>
      <x:c r="C11" s="36" t="str">
        <x:v>Dispositivos</x:v>
      </x:c>
      <x:c r="D11" s="36" t="str">
        <x:v>Tipos console e câmera IP</x:v>
      </x:c>
      <x:c r="E11" s="36" t="str">
        <x:v>Funcional</x:v>
      </x:c>
      <x:c r="F11" s="52" t="str">
        <x:v>P2</x:v>
      </x:c>
      <x:c r="G11" s="36" t="str">
        <x:v>Massas conhecidas de console/câmera</x:v>
      </x:c>
      <x:c r="H11" s="36" t="str">
        <x:v>1. Executar scan
2. Comparar classificação com sinais disponíveis</x:v>
      </x:c>
      <x:c r="I11" s="36" t="str">
        <x:v>Classifica quando há evidência suficiente; caso contrário usa genérico/desconhecido, não chuta.</x:v>
      </x:c>
      <x:c r="J11" s="36" t="str">
        <x:v>Commit c97a063d1b4f208eb2617817f9682d161f3312cd</x:v>
      </x:c>
      <x:c r="K11" s="36" t="str"/>
      <x:c r="L11" s="52"/>
      <x:c r="M11" s="52"/>
      <x:c r="N11" s="52" t="str">
        <x:f>IF(L11="","",ROUND(L11*'00_Leia_Primeiro'!$B$15/'00_Leia_Primeiro'!$B$13,0))</x:f>
      </x:c>
      <x:c r="O11" s="52" t="str">
        <x:f>IF(M11="","",ROUND(M11*'00_Leia_Primeiro'!$B$16/'00_Leia_Primeiro'!$B$14,0))</x:f>
      </x:c>
      <x:c r="P11" s="36" t="str"/>
      <x:c r="Q11" s="36" t="str">
        <x:v>Screenshot + logcat do período</x:v>
      </x:c>
      <x:c r="R11" s="52" t="str">
        <x:v>Não iniciado</x:v>
      </x:c>
      <x:c r="S11" s="36" t="str"/>
      <x:c r="T11" s="36" t="str"/>
      <x:c r="U11" s="36" t="str"/>
    </x:row>
    <x:row r="12" ht="78" customHeight="1">
      <x:c r="A12" s="52" t="n">
        <x:v>8</x:v>
      </x:c>
      <x:c r="B12" s="36" t="str">
        <x:v>DNS-001</x:v>
      </x:c>
      <x:c r="C12" s="36" t="str">
        <x:v>DNS</x:v>
      </x:c>
      <x:c r="D12" s="36" t="str">
        <x:v>Tela cheia e DNS atual</x:v>
      </x:c>
      <x:c r="E12" s="36" t="str">
        <x:v>Design</x:v>
      </x:c>
      <x:c r="F12" s="52" t="str">
        <x:v>P0</x:v>
      </x:c>
      <x:c r="G12" s="36" t="str">
        <x:v>Conexão ativa</x:v>
      </x:c>
      <x:c r="H12" s="36" t="str">
        <x:v>1. Abrir DNS pela Home/Ferramentas
2. Capturar tela
3. Comparar resolver atual</x:v>
      </x:c>
      <x:c r="I12" s="36" t="str">
        <x:v>DnsScreen full-screen, topbar/back, DNS atual e CTA de benchmark; sem bottom sheet legado.</x:v>
      </x:c>
      <x:c r="J12" s="36" t="str">
        <x:v>C:\Users\luizg\Documents\7Agents\Claude Design\SignallQ Design System — DnsScreen; commit f81c3c</x:v>
      </x:c>
      <x:c r="K12" s="36" t="str"/>
      <x:c r="L12" s="52"/>
      <x:c r="M12" s="52"/>
      <x:c r="N12" s="52" t="str">
        <x:f>IF(L12="","",ROUND(L12*'00_Leia_Primeiro'!$B$15/'00_Leia_Primeiro'!$B$13,0))</x:f>
      </x:c>
      <x:c r="O12" s="52" t="str">
        <x:f>IF(M12="","",ROUND(M12*'00_Leia_Primeiro'!$B$16/'00_Leia_Primeiro'!$B$14,0))</x:f>
      </x:c>
      <x:c r="P12" s="36" t="str"/>
      <x:c r="Q12" s="36" t="str">
        <x:v>Screenshot + logcat do período</x:v>
      </x:c>
      <x:c r="R12" s="52" t="str">
        <x:v>Não iniciado</x:v>
      </x:c>
      <x:c r="S12" s="36" t="str"/>
      <x:c r="T12" s="36" t="str"/>
      <x:c r="U12" s="36" t="str"/>
    </x:row>
    <x:row r="13" ht="78" customHeight="1">
      <x:c r="A13" s="52" t="n">
        <x:v>9</x:v>
      </x:c>
      <x:c r="B13" s="36" t="str">
        <x:v>DNS-002</x:v>
      </x:c>
      <x:c r="C13" s="36" t="str">
        <x:v>DNS</x:v>
      </x:c>
      <x:c r="D13" s="36" t="str">
        <x:v>Benchmark</x:v>
      </x:c>
      <x:c r="E13" s="36" t="str">
        <x:v>Funcional</x:v>
      </x:c>
      <x:c r="F13" s="52" t="str">
        <x:v>P0</x:v>
      </x:c>
      <x:c r="G13" s="36" t="str">
        <x:v>Internet disponível</x:v>
      </x:c>
      <x:c r="H13" s="36" t="str">
        <x:v>1. Iniciar benchmark
2. Observar progresso
3. Aguardar conclusão</x:v>
      </x:c>
      <x:c r="I13" s="36" t="str">
        <x:v>Testa provedores previstos, não congela UI, mostra tempos/erros e uma recomendação fundamentada.</x:v>
      </x:c>
      <x:c r="J13" s="36" t="str">
        <x:v>SnapshotBenchmarkDns / DNS_FLOW</x:v>
      </x:c>
      <x:c r="K13" s="36" t="str"/>
      <x:c r="L13" s="52"/>
      <x:c r="M13" s="52"/>
      <x:c r="N13" s="52" t="str">
        <x:f>IF(L13="","",ROUND(L13*'00_Leia_Primeiro'!$B$15/'00_Leia_Primeiro'!$B$13,0))</x:f>
      </x:c>
      <x:c r="O13" s="52" t="str">
        <x:f>IF(M13="","",ROUND(M13*'00_Leia_Primeiro'!$B$16/'00_Leia_Primeiro'!$B$14,0))</x:f>
      </x:c>
      <x:c r="P13" s="36" t="str"/>
      <x:c r="Q13" s="36" t="str">
        <x:v>Screenshot + logcat do período</x:v>
      </x:c>
      <x:c r="R13" s="52" t="str">
        <x:v>Não iniciado</x:v>
      </x:c>
      <x:c r="S13" s="36" t="str"/>
      <x:c r="T13" s="36" t="str"/>
      <x:c r="U13" s="36" t="str"/>
    </x:row>
    <x:row r="14" ht="78" customHeight="1">
      <x:c r="A14" s="52" t="n">
        <x:v>10</x:v>
      </x:c>
      <x:c r="B14" s="36" t="str">
        <x:v>DNS-003</x:v>
      </x:c>
      <x:c r="C14" s="36" t="str">
        <x:v>DNS</x:v>
      </x:c>
      <x:c r="D14" s="36" t="str">
        <x:v>Falha e retry</x:v>
      </x:c>
      <x:c r="E14" s="36" t="str">
        <x:v>Erro</x:v>
      </x:c>
      <x:c r="F14" s="52" t="str">
        <x:v>P1</x:v>
      </x:c>
      <x:c r="G14" s="36" t="str">
        <x:v>Bloquear endpoints DNS/sem internet</x:v>
      </x:c>
      <x:c r="H14" s="36" t="str">
        <x:v>1. Rodar benchmark
2. Restaurar rede
3. Tentar novamente</x:v>
      </x:c>
      <x:c r="I14" s="36" t="str">
        <x:v>Erro por servidor é diferenciado de falha geral; retry recupera; não recomenda troca com dados inconclusivos.</x:v>
      </x:c>
      <x:c r="J14" s="36" t="str">
        <x:v>DnsDiagnosticEngine</x:v>
      </x:c>
      <x:c r="K14" s="36" t="str"/>
      <x:c r="L14" s="52"/>
      <x:c r="M14" s="52"/>
      <x:c r="N14" s="52" t="str">
        <x:f>IF(L14="","",ROUND(L14*'00_Leia_Primeiro'!$B$15/'00_Leia_Primeiro'!$B$13,0))</x:f>
      </x:c>
      <x:c r="O14" s="52" t="str">
        <x:f>IF(M14="","",ROUND(M14*'00_Leia_Primeiro'!$B$16/'00_Leia_Primeiro'!$B$14,0))</x:f>
      </x:c>
      <x:c r="P14" s="36" t="str"/>
      <x:c r="Q14" s="36" t="str">
        <x:v>Screenshot + logcat do período</x:v>
      </x:c>
      <x:c r="R14" s="52" t="str">
        <x:v>Não iniciado</x:v>
      </x:c>
      <x:c r="S14" s="36" t="str"/>
      <x:c r="T14" s="36" t="str"/>
      <x:c r="U14" s="36" t="str"/>
    </x:row>
    <x:row r="15" ht="78" customHeight="1">
      <x:c r="A15" s="52" t="n">
        <x:v>11</x:v>
      </x:c>
      <x:c r="B15" s="36" t="str">
        <x:v>DNS-004</x:v>
      </x:c>
      <x:c r="C15" s="36" t="str">
        <x:v>DNS</x:v>
      </x:c>
      <x:c r="D15" s="36" t="str">
        <x:v>Guia de troca</x:v>
      </x:c>
      <x:c r="E15" s="36" t="str">
        <x:v>Funcional</x:v>
      </x:c>
      <x:c r="F15" s="52" t="str">
        <x:v>P1</x:v>
      </x:c>
      <x:c r="G15" s="36" t="str">
        <x:v>Resultado disponível</x:v>
      </x:c>
      <x:c r="H15" s="36" t="str">
        <x:v>1. Expandir Quando trocar
2. Abrir guia de dispositivo/roteador</x:v>
      </x:c>
      <x:c r="I15" s="36" t="str">
        <x:v>Explicação é simples, passos seguros e deixa claro impacto/como desfazer; back preserva resultado.</x:v>
      </x:c>
      <x:c r="J15" s="36" t="str">
        <x:v>C:\Users\luizg\Documents\7Agents\Claude Design\SignallQ Design System — DnsScreen guide</x:v>
      </x:c>
      <x:c r="K15" s="36" t="str"/>
      <x:c r="L15" s="52"/>
      <x:c r="M15" s="52"/>
      <x:c r="N15" s="52" t="str">
        <x:f>IF(L15="","",ROUND(L15*'00_Leia_Primeiro'!$B$15/'00_Leia_Primeiro'!$B$13,0))</x:f>
      </x:c>
      <x:c r="O15" s="52" t="str">
        <x:f>IF(M15="","",ROUND(M15*'00_Leia_Primeiro'!$B$16/'00_Leia_Primeiro'!$B$14,0))</x:f>
      </x:c>
      <x:c r="P15" s="36" t="str"/>
      <x:c r="Q15" s="36" t="str">
        <x:v>Screenshot + logcat do período</x:v>
      </x:c>
      <x:c r="R15" s="52" t="str">
        <x:v>Não iniciado</x:v>
      </x:c>
      <x:c r="S15" s="36" t="str"/>
      <x:c r="T15" s="36" t="str"/>
      <x:c r="U15" s="36" t="str"/>
    </x:row>
    <x:row r="16" ht="78" customHeight="1">
      <x:c r="A16" s="52" t="n">
        <x:v>12</x:v>
      </x:c>
      <x:c r="B16" s="36" t="str">
        <x:v>EQP-001</x:v>
      </x:c>
      <x:c r="C16" s="36" t="str">
        <x:v>Equipamento de internet</x:v>
      </x:c>
      <x:c r="D16" s="36" t="str">
        <x:v>Loading e capacidades</x:v>
      </x:c>
      <x:c r="E16" s="36" t="str">
        <x:v>Funcional</x:v>
      </x:c>
      <x:c r="F16" s="52" t="str">
        <x:v>P0</x:v>
      </x:c>
      <x:c r="G16" s="36" t="str">
        <x:v>Abrir pelo hub; configuração disponível ou ausente</x:v>
      </x:c>
      <x:c r="H16" s="36" t="str">
        <x:v>1. Abrir tela
2. Observar loading
3. Registrar estado final</x:v>
      </x:c>
      <x:c r="I16" s="36" t="str">
        <x:v>Loading termina; tela é composta pelas capacidades reais do equipamento; não inventa fibra/WAN/Wi-Fi/LAN/clientes.</x:v>
      </x:c>
      <x:c r="J16" s="36" t="str">
        <x:v>Commit 4e2dd55cb16662dba3dec8c67599ee422942ccc8</x:v>
      </x:c>
      <x:c r="K16" s="36" t="str"/>
      <x:c r="L16" s="52"/>
      <x:c r="M16" s="52"/>
      <x:c r="N16" s="52" t="str">
        <x:f>IF(L16="","",ROUND(L16*'00_Leia_Primeiro'!$B$15/'00_Leia_Primeiro'!$B$13,0))</x:f>
      </x:c>
      <x:c r="O16" s="52" t="str">
        <x:f>IF(M16="","",ROUND(M16*'00_Leia_Primeiro'!$B$16/'00_Leia_Primeiro'!$B$14,0))</x:f>
      </x:c>
      <x:c r="P16" s="36" t="str"/>
      <x:c r="Q16" s="36" t="str">
        <x:v>Screenshot + logcat do período</x:v>
      </x:c>
      <x:c r="R16" s="52" t="str">
        <x:v>Não iniciado</x:v>
      </x:c>
      <x:c r="S16" s="36" t="str"/>
      <x:c r="T16" s="36" t="str"/>
      <x:c r="U16" s="36" t="str"/>
    </x:row>
    <x:row r="17" ht="78" customHeight="1">
      <x:c r="A17" s="52" t="n">
        <x:v>13</x:v>
      </x:c>
      <x:c r="B17" s="36" t="str">
        <x:v>EQP-002</x:v>
      </x:c>
      <x:c r="C17" s="36" t="str">
        <x:v>Equipamento de internet</x:v>
      </x:c>
      <x:c r="D17" s="36" t="str">
        <x:v>Não configurado/credenciais necessárias</x:v>
      </x:c>
      <x:c r="E17" s="36" t="str">
        <x:v>Funcional</x:v>
      </x:c>
      <x:c r="F17" s="52" t="str">
        <x:v>P0</x:v>
      </x:c>
      <x:c r="G17" s="36" t="str">
        <x:v>Sem host/credencial válida</x:v>
      </x:c>
      <x:c r="H17" s="36" t="str">
        <x:v>1. Abrir tela
2. Acionar conectar/configurar</x:v>
      </x:c>
      <x:c r="I17" s="36" t="str">
        <x:v>Mostra estado orientativo e fluxo de credenciais; não exibe dados antigos.</x:v>
      </x:c>
      <x:c r="J17" s="36" t="str">
        <x:v>AcessoEquipamento states</x:v>
      </x:c>
      <x:c r="K17" s="36" t="str"/>
      <x:c r="L17" s="52"/>
      <x:c r="M17" s="52"/>
      <x:c r="N17" s="52" t="str">
        <x:f>IF(L17="","",ROUND(L17*'00_Leia_Primeiro'!$B$15/'00_Leia_Primeiro'!$B$13,0))</x:f>
      </x:c>
      <x:c r="O17" s="52" t="str">
        <x:f>IF(M17="","",ROUND(M17*'00_Leia_Primeiro'!$B$16/'00_Leia_Primeiro'!$B$14,0))</x:f>
      </x:c>
      <x:c r="P17" s="36" t="str"/>
      <x:c r="Q17" s="36" t="str">
        <x:v>Screenshot + logcat do período</x:v>
      </x:c>
      <x:c r="R17" s="52" t="str">
        <x:v>Não iniciado</x:v>
      </x:c>
      <x:c r="S17" s="36" t="str"/>
      <x:c r="T17" s="36" t="str"/>
      <x:c r="U17" s="36" t="str"/>
    </x:row>
    <x:row r="18" ht="78" customHeight="1">
      <x:c r="A18" s="52" t="n">
        <x:v>14</x:v>
      </x:c>
      <x:c r="B18" s="36" t="str">
        <x:v>EQP-003</x:v>
      </x:c>
      <x:c r="C18" s="36" t="str">
        <x:v>Equipamento de internet</x:v>
      </x:c>
      <x:c r="D18" s="36" t="str">
        <x:v>Somente identificação / fabricante não suportado</x:v>
      </x:c>
      <x:c r="E18" s="36" t="str">
        <x:v>Funcional</x:v>
      </x:c>
      <x:c r="F18" s="52" t="str">
        <x:v>P0</x:v>
      </x:c>
      <x:c r="G18" s="36" t="str">
        <x:v>Resposta de login não reconhecida ou deviceType desconhecido</x:v>
      </x:c>
      <x:c r="H18" s="36" t="str">
        <x:v>1. Abrir tela com massa não suportada</x:v>
      </x:c>
      <x:c r="I18" s="36" t="str">
        <x:v>Mostra apenas identificação/suporte limitado; nenhum dado de fibra ou saúde é inventado.</x:v>
      </x:c>
      <x:c r="J18" s="36" t="str">
        <x:v>Commit 4e2dd55 — SOMENTE_IDENTIFICACAO</x:v>
      </x:c>
      <x:c r="K18" s="36" t="str"/>
      <x:c r="L18" s="52"/>
      <x:c r="M18" s="52"/>
      <x:c r="N18" s="52" t="str">
        <x:f>IF(L18="","",ROUND(L18*'00_Leia_Primeiro'!$B$15/'00_Leia_Primeiro'!$B$13,0))</x:f>
      </x:c>
      <x:c r="O18" s="52" t="str">
        <x:f>IF(M18="","",ROUND(M18*'00_Leia_Primeiro'!$B$16/'00_Leia_Primeiro'!$B$14,0))</x:f>
      </x:c>
      <x:c r="P18" s="36" t="str"/>
      <x:c r="Q18" s="36" t="str">
        <x:v>Screenshot + logcat do período</x:v>
      </x:c>
      <x:c r="R18" s="52" t="str">
        <x:v>Não iniciado</x:v>
      </x:c>
      <x:c r="S18" s="36" t="str"/>
      <x:c r="T18" s="36" t="str"/>
      <x:c r="U18" s="36" t="str"/>
    </x:row>
    <x:row r="19" ht="78" customHeight="1">
      <x:c r="A19" s="52" t="n">
        <x:v>15</x:v>
      </x:c>
      <x:c r="B19" s="36" t="str">
        <x:v>EQP-004</x:v>
      </x:c>
      <x:c r="C19" s="36" t="str">
        <x:v>Equipamento de internet</x:v>
      </x:c>
      <x:c r="D19" s="36" t="str">
        <x:v>Dados parciais</x:v>
      </x:c>
      <x:c r="E19" s="36" t="str">
        <x:v>Funcional</x:v>
      </x:c>
      <x:c r="F19" s="52" t="str">
        <x:v>P1</x:v>
      </x:c>
      <x:c r="G19" s="36" t="str">
        <x:v>Parser retorna subconjunto</x:v>
      </x:c>
      <x:c r="H19" s="36" t="str">
        <x:v>1. Abrir tela
2. Comparar com fixture</x:v>
      </x:c>
      <x:c r="I19" s="36" t="str">
        <x:v>Seções disponíveis aparecem; ausentes têm estado não disponível; tela não falha inteira.</x:v>
      </x:c>
      <x:c r="J19" s="36" t="str">
        <x:v>LocalDeviceSection dadosParciais</x:v>
      </x:c>
      <x:c r="K19" s="36" t="str"/>
      <x:c r="L19" s="52"/>
      <x:c r="M19" s="52"/>
      <x:c r="N19" s="52" t="str">
        <x:f>IF(L19="","",ROUND(L19*'00_Leia_Primeiro'!$B$15/'00_Leia_Primeiro'!$B$13,0))</x:f>
      </x:c>
      <x:c r="O19" s="52" t="str">
        <x:f>IF(M19="","",ROUND(M19*'00_Leia_Primeiro'!$B$16/'00_Leia_Primeiro'!$B$14,0))</x:f>
      </x:c>
      <x:c r="P19" s="36" t="str"/>
      <x:c r="Q19" s="36" t="str">
        <x:v>Screenshot + logcat do período</x:v>
      </x:c>
      <x:c r="R19" s="52" t="str">
        <x:v>Não iniciado</x:v>
      </x:c>
      <x:c r="S19" s="36" t="str"/>
      <x:c r="T19" s="36" t="str"/>
      <x:c r="U19" s="36" t="str"/>
    </x:row>
    <x:row r="20" ht="78" customHeight="1">
      <x:c r="A20" s="52" t="n">
        <x:v>16</x:v>
      </x:c>
      <x:c r="B20" s="36" t="str">
        <x:v>EQP-005</x:v>
      </x:c>
      <x:c r="C20" s="36" t="str">
        <x:v>Equipamento de internet</x:v>
      </x:c>
      <x:c r="D20" s="36" t="str">
        <x:v>Double NAT</x:v>
      </x:c>
      <x:c r="E20" s="36" t="str">
        <x:v>Funcional</x:v>
      </x:c>
      <x:c r="F20" s="52" t="str">
        <x:v>P1</x:v>
      </x:c>
      <x:c r="G20" s="36" t="str">
        <x:v>NatStatus indica double NAT e equipamento fora de bridge</x:v>
      </x:c>
      <x:c r="H20" s="36" t="str">
        <x:v>1. Abrir tela
2. Validar alerta e explicação</x:v>
      </x:c>
      <x:c r="I20" s="36" t="str">
        <x:v>Alerta aparece apenas com evidência real combinada; texto explica impacto sem alarmismo.</x:v>
      </x:c>
      <x:c r="J20" s="36" t="str">
        <x:v>Commit 4e2dd55 — NatStatus + modo ONT</x:v>
      </x:c>
      <x:c r="K20" s="36" t="str"/>
      <x:c r="L20" s="52"/>
      <x:c r="M20" s="52"/>
      <x:c r="N20" s="52" t="str">
        <x:f>IF(L20="","",ROUND(L20*'00_Leia_Primeiro'!$B$15/'00_Leia_Primeiro'!$B$13,0))</x:f>
      </x:c>
      <x:c r="O20" s="52" t="str">
        <x:f>IF(M20="","",ROUND(M20*'00_Leia_Primeiro'!$B$16/'00_Leia_Primeiro'!$B$14,0))</x:f>
      </x:c>
      <x:c r="P20" s="36" t="str"/>
      <x:c r="Q20" s="36" t="str">
        <x:v>Screenshot + logcat do período</x:v>
      </x:c>
      <x:c r="R20" s="52" t="str">
        <x:v>Não iniciado</x:v>
      </x:c>
      <x:c r="S20" s="36" t="str"/>
      <x:c r="T20" s="36" t="str"/>
      <x:c r="U20" s="36" t="str"/>
    </x:row>
    <x:row r="21" ht="78" customHeight="1">
      <x:c r="A21" s="52" t="n">
        <x:v>17</x:v>
      </x:c>
      <x:c r="B21" s="36" t="str">
        <x:v>EQP-006</x:v>
      </x:c>
      <x:c r="C21" s="36" t="str">
        <x:v>Equipamento de internet</x:v>
      </x:c>
      <x:c r="D21" s="36" t="str">
        <x:v>Reiniciar — confirmação</x:v>
      </x:c>
      <x:c r="E21" s="36" t="str">
        <x:v>Funcional</x:v>
      </x:c>
      <x:c r="F21" s="52" t="str">
        <x:v>P0</x:v>
      </x:c>
      <x:c r="G21" s="36" t="str">
        <x:v>Gerenciamento disponível</x:v>
      </x:c>
      <x:c r="H21" s="36" t="str">
        <x:v>1. Tocar Reiniciar
2. Cancelar
3. Repetir e confirmar em ambiente seguro</x:v>
      </x:c>
      <x:c r="I21" s="36" t="str">
        <x:v>Dialog avisa indisponibilidade temporária; cancelar não chama ação; confirmar chama uma vez e mostra feedback.</x:v>
      </x:c>
      <x:c r="J21" s="36" t="str">
        <x:v>EquipamentoInternetScreen reboot dialog</x:v>
      </x:c>
      <x:c r="K21" s="36" t="str">
        <x:v>Reiniciar</x:v>
      </x:c>
      <x:c r="L21" s="52" t="n">
        <x:v>195</x:v>
      </x:c>
      <x:c r="M21" s="52" t="n">
        <x:v>700</x:v>
      </x:c>
      <x:c r="N21" s="52" t="n">
        <x:f>IF(L21="","",ROUND(L21*'00_Leia_Primeiro'!$B$15/'00_Leia_Primeiro'!$B$13,0))</x:f>
        <x:v>195</x:v>
      </x:c>
      <x:c r="O21" s="52" t="n">
        <x:f>IF(M21="","",ROUND(M21*'00_Leia_Primeiro'!$B$16/'00_Leia_Primeiro'!$B$14,0))</x:f>
        <x:v>700</x:v>
      </x:c>
      <x:c r="P21" s="36" t="str">
        <x:v>text=Reiniciar</x:v>
      </x:c>
      <x:c r="Q21" s="36" t="str">
        <x:v>Screenshot + logcat do período</x:v>
      </x:c>
      <x:c r="R21" s="52" t="str">
        <x:v>Não iniciado</x:v>
      </x:c>
      <x:c r="S21" s="36" t="str"/>
      <x:c r="T21" s="36" t="str"/>
      <x:c r="U21" s="36" t="str"/>
    </x:row>
    <x:row r="22" ht="78" customHeight="1">
      <x:c r="A22" s="52" t="n">
        <x:v>18</x:v>
      </x:c>
      <x:c r="B22" s="36" t="str">
        <x:v>GAT-001</x:v>
      </x:c>
      <x:c r="C22" s="36" t="str">
        <x:v>Gateway Connection Sheet</x:v>
      </x:c>
      <x:c r="D22" s="36" t="str">
        <x:v>Validação de formulário</x:v>
      </x:c>
      <x:c r="E22" s="36" t="str">
        <x:v>Funcional</x:v>
      </x:c>
      <x:c r="F22" s="52" t="str">
        <x:v>P0</x:v>
      </x:c>
      <x:c r="G22" s="36" t="str">
        <x:v>Sheet aberto</x:v>
      </x:c>
      <x:c r="H22" s="36" t="str">
        <x:v>1. Tentar conectar com campos vazios
2. Inserir IP inválido
3. Inserir dados válidos</x:v>
      </x:c>
      <x:c r="I22" s="36" t="str">
        <x:v>Campos obrigatórios e IP são validados; CTA não envia inválido; erros aparecem perto do campo.</x:v>
      </x:c>
      <x:c r="J22" s="36" t="str">
        <x:v>C:\Users\luizg\Documents\7Agents\Claude Design\SignallQ Design System — GatewayConnectionSheet</x:v>
      </x:c>
      <x:c r="K22" s="36" t="str"/>
      <x:c r="L22" s="52"/>
      <x:c r="M22" s="52"/>
      <x:c r="N22" s="52" t="str">
        <x:f>IF(L22="","",ROUND(L22*'00_Leia_Primeiro'!$B$15/'00_Leia_Primeiro'!$B$13,0))</x:f>
      </x:c>
      <x:c r="O22" s="52" t="str">
        <x:f>IF(M22="","",ROUND(M22*'00_Leia_Primeiro'!$B$16/'00_Leia_Primeiro'!$B$14,0))</x:f>
      </x:c>
      <x:c r="P22" s="36" t="str"/>
      <x:c r="Q22" s="36" t="str">
        <x:v>Screenshot + logcat do período</x:v>
      </x:c>
      <x:c r="R22" s="52" t="str">
        <x:v>Não iniciado</x:v>
      </x:c>
      <x:c r="S22" s="36" t="str"/>
      <x:c r="T22" s="36" t="str"/>
      <x:c r="U22" s="36" t="str"/>
    </x:row>
    <x:row r="23" ht="78" customHeight="1">
      <x:c r="A23" s="52" t="n">
        <x:v>19</x:v>
      </x:c>
      <x:c r="B23" s="36" t="str">
        <x:v>GAT-002</x:v>
      </x:c>
      <x:c r="C23" s="36" t="str">
        <x:v>Gateway Connection Sheet</x:v>
      </x:c>
      <x:c r="D23" s="36" t="str">
        <x:v>Conectando e sucesso</x:v>
      </x:c>
      <x:c r="E23" s="36" t="str">
        <x:v>Funcional</x:v>
      </x:c>
      <x:c r="F23" s="52" t="str">
        <x:v>P0</x:v>
      </x:c>
      <x:c r="G23" s="36" t="str">
        <x:v>Dados válidos</x:v>
      </x:c>
      <x:c r="H23" s="36" t="str">
        <x:v>1. Tocar conectar
2. Observar estado conectando
3. Aguardar sucesso</x:v>
      </x:c>
      <x:c r="I23" s="36" t="str">
        <x:v>CTA evita duplo envio; progresso visível; sucesso fecha sheet e navega ao detalhe.</x:v>
      </x:c>
      <x:c r="J23" s="36" t="str">
        <x:v>AppShell GatewayConnectionService</x:v>
      </x:c>
      <x:c r="K23" s="36" t="str"/>
      <x:c r="L23" s="52"/>
      <x:c r="M23" s="52"/>
      <x:c r="N23" s="52" t="str">
        <x:f>IF(L23="","",ROUND(L23*'00_Leia_Primeiro'!$B$15/'00_Leia_Primeiro'!$B$13,0))</x:f>
      </x:c>
      <x:c r="O23" s="52" t="str">
        <x:f>IF(M23="","",ROUND(M23*'00_Leia_Primeiro'!$B$16/'00_Leia_Primeiro'!$B$14,0))</x:f>
      </x:c>
      <x:c r="P23" s="36" t="str"/>
      <x:c r="Q23" s="36" t="str">
        <x:v>Screenshot + logcat do período</x:v>
      </x:c>
      <x:c r="R23" s="52" t="str">
        <x:v>Não iniciado</x:v>
      </x:c>
      <x:c r="S23" s="36" t="str"/>
      <x:c r="T23" s="36" t="str"/>
      <x:c r="U23" s="36" t="str"/>
    </x:row>
    <x:row r="24" ht="78" customHeight="1">
      <x:c r="A24" s="52" t="n">
        <x:v>20</x:v>
      </x:c>
      <x:c r="B24" s="36" t="str">
        <x:v>GAT-003</x:v>
      </x:c>
      <x:c r="C24" s="36" t="str">
        <x:v>Gateway Connection Sheet</x:v>
      </x:c>
      <x:c r="D24" s="36" t="str">
        <x:v>Erro e nova tentativa</x:v>
      </x:c>
      <x:c r="E24" s="36" t="str">
        <x:v>Erro</x:v>
      </x:c>
      <x:c r="F24" s="52" t="str">
        <x:v>P0</x:v>
      </x:c>
      <x:c r="G24" s="36" t="str">
        <x:v>Serviço configurado para falhar</x:v>
      </x:c>
      <x:c r="H24" s="36" t="str">
        <x:v>1. Conectar
2. Ler erro
3. Corrigir dado e tentar novamente</x:v>
      </x:c>
      <x:c r="I24" s="36" t="str">
        <x:v>Erro não apaga dados necessários, não expõe senha e permite retry.</x:v>
      </x:c>
      <x:c r="J24" s="36" t="str">
        <x:v>C:\Users\luizg\Documents\7Agents\Claude Design\SignallQ Design System — estados form/conectando/erro</x:v>
      </x:c>
      <x:c r="K24" s="36" t="str"/>
      <x:c r="L24" s="52"/>
      <x:c r="M24" s="52"/>
      <x:c r="N24" s="52" t="str">
        <x:f>IF(L24="","",ROUND(L24*'00_Leia_Primeiro'!$B$15/'00_Leia_Primeiro'!$B$13,0))</x:f>
      </x:c>
      <x:c r="O24" s="52" t="str">
        <x:f>IF(M24="","",ROUND(M24*'00_Leia_Primeiro'!$B$16/'00_Leia_Primeiro'!$B$14,0))</x:f>
      </x:c>
      <x:c r="P24" s="36" t="str"/>
      <x:c r="Q24" s="36" t="str">
        <x:v>Screenshot + logcat do período</x:v>
      </x:c>
      <x:c r="R24" s="52" t="str">
        <x:v>Não iniciado</x:v>
      </x:c>
      <x:c r="S24" s="36" t="str"/>
      <x:c r="T24" s="36" t="str"/>
      <x:c r="U24" s="36" t="str"/>
    </x:row>
    <x:row r="25" ht="78" customHeight="1">
      <x:c r="A25" s="52" t="n">
        <x:v>21</x:v>
      </x:c>
      <x:c r="B25" s="36" t="str">
        <x:v>GAT-004</x:v>
      </x:c>
      <x:c r="C25" s="36" t="str">
        <x:v>Gateway Connection Sheet</x:v>
      </x:c>
      <x:c r="D25" s="36" t="str">
        <x:v>Lembrar senha / manter conectado</x:v>
      </x:c>
      <x:c r="E25" s="36" t="str">
        <x:v>Funcional</x:v>
      </x:c>
      <x:c r="F25" s="52" t="str">
        <x:v>P1</x:v>
      </x:c>
      <x:c r="G25" s="36" t="str">
        <x:v>Conexão bem-sucedida</x:v>
      </x:c>
      <x:c r="H25" s="36" t="str">
        <x:v>1. Alternar opções
2. Conectar
3. Reabrir na mesma e em outra BSSID</x:v>
      </x:c>
      <x:c r="I25" s="36" t="str">
        <x:v>Opções persistem conforme escolha; manter conectado é vinculado à BSSID; senha não aparece em log/UI.</x:v>
      </x:c>
      <x:c r="J25" s="36" t="str">
        <x:v>AppShell onRegistrarConexaoGateway</x:v>
      </x:c>
      <x:c r="K25" s="36" t="str"/>
      <x:c r="L25" s="52"/>
      <x:c r="M25" s="52"/>
      <x:c r="N25" s="52" t="str">
        <x:f>IF(L25="","",ROUND(L25*'00_Leia_Primeiro'!$B$15/'00_Leia_Primeiro'!$B$13,0))</x:f>
      </x:c>
      <x:c r="O25" s="52" t="str">
        <x:f>IF(M25="","",ROUND(M25*'00_Leia_Primeiro'!$B$16/'00_Leia_Primeiro'!$B$14,0))</x:f>
      </x:c>
      <x:c r="P25" s="36" t="str"/>
      <x:c r="Q25" s="36" t="str">
        <x:v>Screenshot + logcat do período</x:v>
      </x:c>
      <x:c r="R25" s="52" t="str">
        <x:v>Não iniciado</x:v>
      </x:c>
      <x:c r="S25" s="36" t="str"/>
      <x:c r="T25" s="36" t="str"/>
      <x:c r="U25" s="36" t="str"/>
    </x:row>
    <x:row r="26" ht="78" customHeight="1">
      <x:c r="A26" s="52" t="n">
        <x:v>22</x:v>
      </x:c>
      <x:c r="B26" s="36" t="str">
        <x:v>GAT-005</x:v>
      </x:c>
      <x:c r="C26" s="36" t="str">
        <x:v>Gateway Connection Sheet</x:v>
      </x:c>
      <x:c r="D26" s="36" t="str">
        <x:v>Guia de credenciais</x:v>
      </x:c>
      <x:c r="E26" s="36" t="str">
        <x:v>Navegação</x:v>
      </x:c>
      <x:c r="F26" s="52" t="str">
        <x:v>P1</x:v>
      </x:c>
      <x:c r="G26" s="36" t="str">
        <x:v>Sheet aberto</x:v>
      </x:c>
      <x:c r="H26" s="36" t="str">
        <x:v>1. Abrir Onde encontro usuário e senha
2. Rolar
3. Voltar</x:v>
      </x:c>
      <x:c r="I26" s="36" t="str">
        <x:v>GatewayCredentialsGuideSheet abre sobre o fluxo e retorna sem perder campos.</x:v>
      </x:c>
      <x:c r="J26" s="36" t="str">
        <x:v>C:\Users\luizg\Documents\7Agents\Claude Design\SignallQ Design System — GatewayCredentialsGuideSheet</x:v>
      </x:c>
      <x:c r="K26" s="36" t="str"/>
      <x:c r="L26" s="52"/>
      <x:c r="M26" s="52"/>
      <x:c r="N26" s="52" t="str">
        <x:f>IF(L26="","",ROUND(L26*'00_Leia_Primeiro'!$B$15/'00_Leia_Primeiro'!$B$13,0))</x:f>
      </x:c>
      <x:c r="O26" s="52" t="str">
        <x:f>IF(M26="","",ROUND(M26*'00_Leia_Primeiro'!$B$16/'00_Leia_Primeiro'!$B$14,0))</x:f>
      </x:c>
      <x:c r="P26" s="36" t="str"/>
      <x:c r="Q26" s="36" t="str">
        <x:v>Screenshot + logcat do período</x:v>
      </x:c>
      <x:c r="R26" s="52" t="str">
        <x:v>Não iniciado</x:v>
      </x:c>
      <x:c r="S26" s="36" t="str"/>
      <x:c r="T26" s="36" t="str"/>
      <x:c r="U26" s="36" t="str"/>
    </x:row>
    <x:row r="27" ht="78" customHeight="1">
      <x:c r="A27" s="52" t="n">
        <x:v>23</x:v>
      </x:c>
      <x:c r="B27" s="36" t="str">
        <x:v>LAU-001</x:v>
      </x:c>
      <x:c r="C27" s="36" t="str">
        <x:v>Laudo</x:v>
      </x:c>
      <x:c r="D27" s="36" t="str">
        <x:v>Estrutura e conteúdo</x:v>
      </x:c>
      <x:c r="E27" s="36" t="str">
        <x:v>Design</x:v>
      </x:c>
      <x:c r="F27" s="52" t="str">
        <x:v>P0</x:v>
      </x:c>
      <x:c r="G27" s="36" t="str">
        <x:v>Diagnóstico disponível</x:v>
      </x:c>
      <x:c r="H27" s="36" t="str">
        <x:v>1. Abrir Laudo
2. Capturar do topo ao fim</x:v>
      </x:c>
      <x:c r="I27" s="36" t="str">
        <x:v>Banner de severidade, cabeçalho, resumo, grid 3x2 de métricas, recomendação e ação de compartilhar; sem chat livre.</x:v>
      </x:c>
      <x:c r="J27" s="36" t="str">
        <x:v>C:\Users\luizg\Documents\7Agents\Claude Design\SignallQ Design System — LaudoScreen; DiagnosticoScreen removida</x:v>
      </x:c>
      <x:c r="K27" s="36" t="str"/>
      <x:c r="L27" s="52"/>
      <x:c r="M27" s="52"/>
      <x:c r="N27" s="52" t="str">
        <x:f>IF(L27="","",ROUND(L27*'00_Leia_Primeiro'!$B$15/'00_Leia_Primeiro'!$B$13,0))</x:f>
      </x:c>
      <x:c r="O27" s="52" t="str">
        <x:f>IF(M27="","",ROUND(M27*'00_Leia_Primeiro'!$B$16/'00_Leia_Primeiro'!$B$14,0))</x:f>
      </x:c>
      <x:c r="P27" s="36" t="str"/>
      <x:c r="Q27" s="36" t="str">
        <x:v>Screenshot + logcat do período</x:v>
      </x:c>
      <x:c r="R27" s="52" t="str">
        <x:v>Não iniciado</x:v>
      </x:c>
      <x:c r="S27" s="36" t="str"/>
      <x:c r="T27" s="36" t="str"/>
      <x:c r="U27" s="36" t="str"/>
    </x:row>
    <x:row r="28" ht="78" customHeight="1">
      <x:c r="A28" s="52" t="n">
        <x:v>24</x:v>
      </x:c>
      <x:c r="B28" s="36" t="str">
        <x:v>LAU-002</x:v>
      </x:c>
      <x:c r="C28" s="36" t="str">
        <x:v>Laudo</x:v>
      </x:c>
      <x:c r="D28" s="36" t="str">
        <x:v>Dados e recomendação</x:v>
      </x:c>
      <x:c r="E28" s="36" t="str">
        <x:v>Funcional</x:v>
      </x:c>
      <x:c r="F28" s="52" t="str">
        <x:v>P0</x:v>
      </x:c>
      <x:c r="G28" s="36" t="str">
        <x:v>Resultado de rede conhecido</x:v>
      </x:c>
      <x:c r="H28" s="36" t="str">
        <x:v>1. Comparar laudo com speedtest/sinal/DNS
2. Verificar causa e recomendação</x:v>
      </x:c>
      <x:c r="I28" s="36" t="str">
        <x:v>Conclusão é consistente com dados; recomenda 5 GHz quando caso 2.4 GHz ruim e 5 GHz é aplicável; evita repetição/jargão.</x:v>
      </x:c>
      <x:c r="J28" s="36" t="str">
        <x:v>DiagnosticOrchestrator + RecommendationEngine</x:v>
      </x:c>
      <x:c r="K28" s="36" t="str"/>
      <x:c r="L28" s="52"/>
      <x:c r="M28" s="52"/>
      <x:c r="N28" s="52" t="str">
        <x:f>IF(L28="","",ROUND(L28*'00_Leia_Primeiro'!$B$15/'00_Leia_Primeiro'!$B$13,0))</x:f>
      </x:c>
      <x:c r="O28" s="52" t="str">
        <x:f>IF(M28="","",ROUND(M28*'00_Leia_Primeiro'!$B$16/'00_Leia_Primeiro'!$B$14,0))</x:f>
      </x:c>
      <x:c r="P28" s="36" t="str"/>
      <x:c r="Q28" s="36" t="str">
        <x:v>Screenshot + logcat do período</x:v>
      </x:c>
      <x:c r="R28" s="52" t="str">
        <x:v>Não iniciado</x:v>
      </x:c>
      <x:c r="S28" s="36" t="str"/>
      <x:c r="T28" s="36" t="str"/>
      <x:c r="U28" s="36" t="str"/>
    </x:row>
    <x:row r="29" ht="78" customHeight="1">
      <x:c r="A29" s="52" t="n">
        <x:v>25</x:v>
      </x:c>
      <x:c r="B29" s="36" t="str">
        <x:v>LAU-003</x:v>
      </x:c>
      <x:c r="C29" s="36" t="str">
        <x:v>Laudo</x:v>
      </x:c>
      <x:c r="D29" s="36" t="str">
        <x:v>Compartilhar</x:v>
      </x:c>
      <x:c r="E29" s="36" t="str">
        <x:v>Funcional</x:v>
      </x:c>
      <x:c r="F29" s="52" t="str">
        <x:v>P1</x:v>
      </x:c>
      <x:c r="G29" s="36" t="str">
        <x:v>Laudo completo</x:v>
      </x:c>
      <x:c r="H29" s="36" t="str">
        <x:v>1. Tocar compartilhar
2. Validar arquivo/sharesheet</x:v>
      </x:c>
      <x:c r="I29" s="36" t="str">
        <x:v>Documento contém dados e data corretos, sem segredo; ação funciona ou apresenta erro recuperável.</x:v>
      </x:c>
      <x:c r="J29" s="36" t="str">
        <x:v>LaudoScreen/PDF</x:v>
      </x:c>
      <x:c r="K29" s="36" t="str">
        <x:v>Compartilhar</x:v>
      </x:c>
      <x:c r="L29" s="52" t="n">
        <x:v>360</x:v>
      </x:c>
      <x:c r="M29" s="52" t="n">
        <x:v>52</x:v>
      </x:c>
      <x:c r="N29" s="52" t="n">
        <x:f>IF(L29="","",ROUND(L29*'00_Leia_Primeiro'!$B$15/'00_Leia_Primeiro'!$B$13,0))</x:f>
        <x:v>360</x:v>
      </x:c>
      <x:c r="O29" s="52" t="n">
        <x:f>IF(M29="","",ROUND(M29*'00_Leia_Primeiro'!$B$16/'00_Leia_Primeiro'!$B$14,0))</x:f>
        <x:v>52</x:v>
      </x:c>
      <x:c r="P29" s="36" t="str">
        <x:v>contentDescription~Compartilhar</x:v>
      </x:c>
      <x:c r="Q29" s="36" t="str">
        <x:v>Screenshot + logcat do período</x:v>
      </x:c>
      <x:c r="R29" s="52" t="str">
        <x:v>Não iniciado</x:v>
      </x:c>
      <x:c r="S29" s="36" t="str"/>
      <x:c r="T29" s="36" t="str"/>
      <x:c r="U29" s="36" t="str"/>
    </x:row>
    <x:row r="30" ht="78" customHeight="1">
      <x:c r="A30" s="52" t="n">
        <x:v>26</x:v>
      </x:c>
      <x:c r="B30" s="36" t="str">
        <x:v>LAU-004</x:v>
      </x:c>
      <x:c r="C30" s="36" t="str">
        <x:v>Laudo</x:v>
      </x:c>
      <x:c r="D30" s="36" t="str">
        <x:v>Fechamento e prompt de avaliação</x:v>
      </x:c>
      <x:c r="E30" s="36" t="str">
        <x:v>Funcional</x:v>
      </x:c>
      <x:c r="F30" s="52" t="str">
        <x:v>P2</x:v>
      </x:c>
      <x:c r="G30" s="36" t="str">
        <x:v>Elegível ao prompt</x:v>
      </x:c>
      <x:c r="H30" s="36" t="str">
        <x:v>1. Fechar pelo botão voltar
2. Repetir por back físico em sessão controlada</x:v>
      </x:c>
      <x:c r="I30" s="36" t="str">
        <x:v>Ambos contam como fechamento para elegibilidade; prompt não é invasivo nem aparece repetidamente.</x:v>
      </x:c>
      <x:c r="J30" s="36" t="str">
        <x:v>AppShell onLaudoFechado / SIG-173</x:v>
      </x:c>
      <x:c r="K30" s="36" t="str"/>
      <x:c r="L30" s="52"/>
      <x:c r="M30" s="52"/>
      <x:c r="N30" s="52" t="str">
        <x:f>IF(L30="","",ROUND(L30*'00_Leia_Primeiro'!$B$15/'00_Leia_Primeiro'!$B$13,0))</x:f>
      </x:c>
      <x:c r="O30" s="52" t="str">
        <x:f>IF(M30="","",ROUND(M30*'00_Leia_Primeiro'!$B$16/'00_Leia_Primeiro'!$B$14,0))</x:f>
      </x:c>
      <x:c r="P30" s="36" t="str"/>
      <x:c r="Q30" s="36" t="str">
        <x:v>Screenshot + logcat do período</x:v>
      </x:c>
      <x:c r="R30" s="52" t="str">
        <x:v>Não iniciado</x:v>
      </x:c>
      <x:c r="S30" s="36" t="str"/>
      <x:c r="T30" s="36" t="str"/>
      <x:c r="U30" s="36" t="str"/>
    </x:row>
    <x:row r="31" ht="78" customHeight="1">
      <x:c r="A31" s="52" t="n">
        <x:v>27</x:v>
      </x:c>
      <x:c r="B31" s="36" t="str">
        <x:v>PIN-001</x:v>
      </x:c>
      <x:c r="C31" s="36" t="str">
        <x:v>Ping</x:v>
      </x:c>
      <x:c r="D31" s="36" t="str">
        <x:v>Medição e resultado</x:v>
      </x:c>
      <x:c r="E31" s="36" t="str">
        <x:v>Funcional</x:v>
      </x:c>
      <x:c r="F31" s="52" t="str">
        <x:v>P0</x:v>
      </x:c>
      <x:c r="G31" s="36" t="str">
        <x:v>Internet disponível</x:v>
      </x:c>
      <x:c r="H31" s="36" t="str">
        <x:v>1. Abrir Ping
2. Executar
3. Comparar latência/jitter/perda com logs</x:v>
      </x:c>
      <x:c r="I31" s="36" t="str">
        <x:v>Progresso e resultado coerentes; unidades/veredito; permite repetir e fechar.</x:v>
      </x:c>
      <x:c r="J31" s="36" t="str">
        <x:v>C:\Users\luizg\Documents\7Agents\Claude Design\SignallQ Design System — PingScreenSheet; PingExecutor</x:v>
      </x:c>
      <x:c r="K31" s="36" t="str"/>
      <x:c r="L31" s="52"/>
      <x:c r="M31" s="52"/>
      <x:c r="N31" s="52" t="str">
        <x:f>IF(L31="","",ROUND(L31*'00_Leia_Primeiro'!$B$15/'00_Leia_Primeiro'!$B$13,0))</x:f>
      </x:c>
      <x:c r="O31" s="52" t="str">
        <x:f>IF(M31="","",ROUND(M31*'00_Leia_Primeiro'!$B$16/'00_Leia_Primeiro'!$B$14,0))</x:f>
      </x:c>
      <x:c r="P31" s="36" t="str"/>
      <x:c r="Q31" s="36" t="str">
        <x:v>Screenshot + logcat do período</x:v>
      </x:c>
      <x:c r="R31" s="52" t="str">
        <x:v>Não iniciado</x:v>
      </x:c>
      <x:c r="S31" s="36" t="str"/>
      <x:c r="T31" s="36" t="str"/>
      <x:c r="U31" s="36" t="str"/>
    </x:row>
    <x:row r="32" ht="78" customHeight="1">
      <x:c r="A32" s="52" t="n">
        <x:v>28</x:v>
      </x:c>
      <x:c r="B32" s="36" t="str">
        <x:v>PIN-002</x:v>
      </x:c>
      <x:c r="C32" s="36" t="str">
        <x:v>Ping</x:v>
      </x:c>
      <x:c r="D32" s="36" t="str">
        <x:v>Timeout/sem internet</x:v>
      </x:c>
      <x:c r="E32" s="36" t="str">
        <x:v>Erro</x:v>
      </x:c>
      <x:c r="F32" s="52" t="str">
        <x:v>P1</x:v>
      </x:c>
      <x:c r="G32" s="36" t="str">
        <x:v>Sem conectividade ou endpoint bloqueado</x:v>
      </x:c>
      <x:c r="H32" s="36" t="str">
        <x:v>1. Executar ping
2. Aguardar erro
3. Restaurar e repetir</x:v>
      </x:c>
      <x:c r="I32" s="36" t="str">
        <x:v>Timeout não trava; mensagem simples; retry funciona; perda de 100% não é confundida com resultado saudável.</x:v>
      </x:c>
      <x:c r="J32" s="36" t="str">
        <x:v>PingExecutor</x:v>
      </x:c>
      <x:c r="K32" s="36" t="str"/>
      <x:c r="L32" s="52"/>
      <x:c r="M32" s="52"/>
      <x:c r="N32" s="52" t="str">
        <x:f>IF(L32="","",ROUND(L32*'00_Leia_Primeiro'!$B$15/'00_Leia_Primeiro'!$B$13,0))</x:f>
      </x:c>
      <x:c r="O32" s="52" t="str">
        <x:f>IF(M32="","",ROUND(M32*'00_Leia_Primeiro'!$B$16/'00_Leia_Primeiro'!$B$14,0))</x:f>
      </x:c>
      <x:c r="P32" s="36" t="str"/>
      <x:c r="Q32" s="36" t="str">
        <x:v>Screenshot + logcat do período</x:v>
      </x:c>
      <x:c r="R32" s="52" t="str">
        <x:v>Não iniciado</x:v>
      </x:c>
      <x:c r="S32" s="36" t="str"/>
      <x:c r="T32" s="36" t="str"/>
      <x:c r="U32" s="36" t="str"/>
    </x:row>
    <x:row r="33" ht="78" customHeight="1">
      <x:c r="A33" s="52" t="n">
        <x:v>29</x:v>
      </x:c>
      <x:c r="B33" s="36" t="str">
        <x:v>PRI-001</x:v>
      </x:c>
      <x:c r="C33" s="36" t="str">
        <x:v>Privacidade</x:v>
      </x:c>
      <x:c r="D33" s="36" t="str">
        <x:v>Conteúdo To-Be</x:v>
      </x:c>
      <x:c r="E33" s="36" t="str">
        <x:v>Design</x:v>
      </x:c>
      <x:c r="F33" s="52" t="str">
        <x:v>P0</x:v>
      </x:c>
      <x:c r="G33" s="36" t="str">
        <x:v>Tela aberta</x:v>
      </x:c>
      <x:c r="H33" s="36" t="str">
        <x:v>1. Rolar toda a página
2. Validar seções</x:v>
      </x:c>
      <x:c r="I33" s="36" t="str">
        <x:v>Explica processamento local, dados coletados, permissões usadas, compartilhamento opcional e gestão de dados; copy legível e atual.</x:v>
      </x:c>
      <x:c r="J33" s="36" t="str">
        <x:v>C:\Users\luizg\Documents\7Agents\Claude Design\SignallQ Design System — PrivacidadeScreen</x:v>
      </x:c>
      <x:c r="K33" s="36" t="str"/>
      <x:c r="L33" s="52"/>
      <x:c r="M33" s="52"/>
      <x:c r="N33" s="52" t="str">
        <x:f>IF(L33="","",ROUND(L33*'00_Leia_Primeiro'!$B$15/'00_Leia_Primeiro'!$B$13,0))</x:f>
      </x:c>
      <x:c r="O33" s="52" t="str">
        <x:f>IF(M33="","",ROUND(M33*'00_Leia_Primeiro'!$B$16/'00_Leia_Primeiro'!$B$14,0))</x:f>
      </x:c>
      <x:c r="P33" s="36" t="str"/>
      <x:c r="Q33" s="36" t="str">
        <x:v>Screenshot + logcat do período</x:v>
      </x:c>
      <x:c r="R33" s="52" t="str">
        <x:v>Não iniciado</x:v>
      </x:c>
      <x:c r="S33" s="36" t="str"/>
      <x:c r="T33" s="36" t="str"/>
      <x:c r="U33" s="36" t="str"/>
    </x:row>
    <x:row r="34" ht="78" customHeight="1">
      <x:c r="A34" s="52" t="n">
        <x:v>30</x:v>
      </x:c>
      <x:c r="B34" s="36" t="str">
        <x:v>PRI-002</x:v>
      </x:c>
      <x:c r="C34" s="36" t="str">
        <x:v>Privacidade</x:v>
      </x:c>
      <x:c r="D34" s="36" t="str">
        <x:v>Links e ações</x:v>
      </x:c>
      <x:c r="E34" s="36" t="str">
        <x:v>Funcional</x:v>
      </x:c>
      <x:c r="F34" s="52" t="str">
        <x:v>P1</x:v>
      </x:c>
      <x:c r="G34" s="36" t="str">
        <x:v>Tela aberta</x:v>
      </x:c>
      <x:c r="H34" s="36" t="str">
        <x:v>1. Acionar links externos/gerenciar dados se presentes
2. Voltar</x:v>
      </x:c>
      <x:c r="I34" s="36" t="str">
        <x:v>Links abrem destino correto; ações não perdem contexto; sem URL quebrada.</x:v>
      </x:c>
      <x:c r="J34" s="36" t="str">
        <x:v>PrivacidadeScreen</x:v>
      </x:c>
      <x:c r="K34" s="36" t="str"/>
      <x:c r="L34" s="52"/>
      <x:c r="M34" s="52"/>
      <x:c r="N34" s="52" t="str">
        <x:f>IF(L34="","",ROUND(L34*'00_Leia_Primeiro'!$B$15/'00_Leia_Primeiro'!$B$13,0))</x:f>
      </x:c>
      <x:c r="O34" s="52" t="str">
        <x:f>IF(M34="","",ROUND(M34*'00_Leia_Primeiro'!$B$16/'00_Leia_Primeiro'!$B$14,0))</x:f>
      </x:c>
      <x:c r="P34" s="36" t="str"/>
      <x:c r="Q34" s="36" t="str">
        <x:v>Screenshot + logcat do período</x:v>
      </x:c>
      <x:c r="R34" s="52" t="str">
        <x:v>Não iniciado</x:v>
      </x:c>
      <x:c r="S34" s="36" t="str"/>
      <x:c r="T34" s="36" t="str"/>
      <x:c r="U34" s="36" t="str"/>
    </x:row>
    <x:row r="35" ht="78" customHeight="1">
      <x:c r="A35" s="52" t="n">
        <x:v>31</x:v>
      </x:c>
      <x:c r="B35" s="36" t="str">
        <x:v>NOV-001</x:v>
      </x:c>
      <x:c r="C35" s="36" t="str">
        <x:v>Novidades</x:v>
      </x:c>
      <x:c r="D35" s="36" t="str">
        <x:v>Versão e changelog</x:v>
      </x:c>
      <x:c r="E35" s="36" t="str">
        <x:v>Funcional</x:v>
      </x:c>
      <x:c r="F35" s="52" t="str">
        <x:v>P1</x:v>
      </x:c>
      <x:c r="G35" s="36" t="str">
        <x:v>Tela aberta</x:v>
      </x:c>
      <x:c r="H35" s="36" t="str">
        <x:v>1. Comparar versão e itens com CHANGELOG
2. Rolar</x:v>
      </x:c>
      <x:c r="I35" s="36" t="str">
        <x:v>Versão atual e mudanças relevantes; sem prometer recurso ainda stub/desligado.</x:v>
      </x:c>
      <x:c r="J35" s="36" t="str">
        <x:v>C:\Users\luizg\Documents\7Agents\Claude Design\SignallQ Design System — NovidadesScreen + android/CHANGELOG.md</x:v>
      </x:c>
      <x:c r="K35" s="36" t="str"/>
      <x:c r="L35" s="52"/>
      <x:c r="M35" s="52"/>
      <x:c r="N35" s="52" t="str">
        <x:f>IF(L35="","",ROUND(L35*'00_Leia_Primeiro'!$B$15/'00_Leia_Primeiro'!$B$13,0))</x:f>
      </x:c>
      <x:c r="O35" s="52" t="str">
        <x:f>IF(M35="","",ROUND(M35*'00_Leia_Primeiro'!$B$16/'00_Leia_Primeiro'!$B$14,0))</x:f>
      </x:c>
      <x:c r="P35" s="36" t="str"/>
      <x:c r="Q35" s="36" t="str">
        <x:v>Screenshot + logcat do período</x:v>
      </x:c>
      <x:c r="R35" s="52" t="str">
        <x:v>Não iniciado</x:v>
      </x:c>
      <x:c r="S35" s="36" t="str"/>
      <x:c r="T35" s="36" t="str"/>
      <x:c r="U35" s="36" t="str"/>
    </x:row>
    <x:row r="36" ht="78" customHeight="1">
      <x:c r="A36" s="52" t="n">
        <x:v>32</x:v>
      </x:c>
      <x:c r="B36" s="36" t="str">
        <x:v>OPR-001</x:v>
      </x:c>
      <x:c r="C36" s="36" t="str">
        <x:v>Operadora Sheet</x:v>
      </x:c>
      <x:c r="D36" s="36" t="str">
        <x:v>Contatos e fallback</x:v>
      </x:c>
      <x:c r="E36" s="36" t="str">
        <x:v>Funcional</x:v>
      </x:c>
      <x:c r="F36" s="52" t="str">
        <x:v>P1</x:v>
      </x:c>
      <x:c r="G36" s="36" t="str">
        <x:v>Operadora conhecida e depois desconhecida</x:v>
      </x:c>
      <x:c r="H36" s="36" t="str">
        <x:v>1. Abrir sheet em ambos cenários
2. Testar telefone/WhatsApp/site quando presentes</x:v>
      </x:c>
      <x:c r="I36" s="36" t="str">
        <x:v>Conhecida mostra contatos reais; desconhecida usa fallback sem inventar; ações externas só habilitadas com dado válido.</x:v>
      </x:c>
      <x:c r="J36" s="36" t="str">
        <x:v>Commit 5ef4b958 + OperadoraBottomSheet</x:v>
      </x:c>
      <x:c r="K36" s="36" t="str"/>
      <x:c r="L36" s="52"/>
      <x:c r="M36" s="52"/>
      <x:c r="N36" s="52" t="str">
        <x:f>IF(L36="","",ROUND(L36*'00_Leia_Primeiro'!$B$15/'00_Leia_Primeiro'!$B$13,0))</x:f>
      </x:c>
      <x:c r="O36" s="52" t="str">
        <x:f>IF(M36="","",ROUND(M36*'00_Leia_Primeiro'!$B$16/'00_Leia_Primeiro'!$B$14,0))</x:f>
      </x:c>
      <x:c r="P36" s="36" t="str"/>
      <x:c r="Q36" s="36" t="str">
        <x:v>Screenshot + logcat do período</x:v>
      </x:c>
      <x:c r="R36" s="52" t="str">
        <x:v>Não iniciado</x:v>
      </x:c>
      <x:c r="S36" s="36" t="str"/>
      <x:c r="T36" s="36" t="str"/>
      <x:c r="U36" s="36" t="str"/>
    </x:row>
  </x:sheetData>
  <x:mergeCells>
    <x:mergeCell ref="A1:U1"/>
    <x:mergeCell ref="A2:U2"/>
  </x:mergeCells>
  <x:conditionalFormatting sqref="R5:R36">
    <x:cfRule type="expression" dxfId="42" priority="1">
      <x:formula>R5="Passou"</x:formula>
    </x:cfRule>
    <x:cfRule type="expression" dxfId="43" priority="2">
      <x:formula>R5="Falhou"</x:formula>
    </x:cfRule>
    <x:cfRule type="expression" dxfId="44" priority="3">
      <x:formula>R5="Bloqueado"</x:formula>
    </x:cfRule>
    <x:cfRule type="expression" dxfId="45" priority="4">
      <x:formula>R5="Em execução"</x:formula>
    </x:cfRule>
    <x:cfRule type="expression" dxfId="46" priority="5">
      <x:formula>R5="N/A"</x:formula>
    </x:cfRule>
  </x:conditionalFormatting>
  <x:conditionalFormatting sqref="F5:F36">
    <x:cfRule type="expression" dxfId="47" priority="6">
      <x:formula>F5="P0"</x:formula>
    </x:cfRule>
    <x:cfRule type="expression" dxfId="48" priority="7">
      <x:formula>F5="P1"</x:formula>
    </x:cfRule>
  </x:conditionalFormatting>
  <x:dataValidations count="2">
    <x:dataValidation type="list" sqref="F5:F36">
      <x:formula1>"P0,P1,P2,P3"</x:formula1>
    </x:dataValidation>
    <x:dataValidation type="list" sqref="R5:R36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277a4fa3df40db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5" hidden="0" customWidth="1"/>
    <x:col min="3" max="3" width="24" hidden="0" customWidth="1"/>
    <x:col min="4" max="4" width="27" hidden="0" customWidth="1"/>
    <x:col min="5" max="5" width="16" hidden="0" customWidth="1"/>
    <x:col min="6" max="6" width="10" hidden="0" customWidth="1"/>
    <x:col min="7" max="7" width="34" hidden="0" customWidth="1"/>
    <x:col min="8" max="8" width="48" hidden="0" customWidth="1"/>
    <x:col min="9" max="9" width="48" hidden="0" customWidth="1"/>
    <x:col min="10" max="10" width="42" hidden="0" customWidth="1"/>
    <x:col min="11" max="11" width="24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32" hidden="0" customWidth="1"/>
    <x:col min="17" max="17" width="28" hidden="0" customWidth="1"/>
    <x:col min="18" max="18" width="16" hidden="0" customWidth="1"/>
    <x:col min="19" max="19" width="20" hidden="0" customWidth="1"/>
    <x:col min="20" max="20" width="34" hidden="0" customWidth="1"/>
    <x:col min="21" max="21" width="27" hidden="0" customWidth="1"/>
  </x:cols>
  <x:sheetData>
    <x:row r="1" ht="32" customHeight="1">
      <x:c r="A1" s="5" t="str">
        <x:v>Jornadas completas e regressão cruzada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3" t="str">
        <x:v>Execute em ordem. Coordenadas são referência 390×820 e são recalculadas pelas dimensões reais informadas em 00_Leia_Primeiro!B15:B16. Use seletor semântico antes de tap por coordenada.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</x:row>
    <x:row r="4" ht="44" customHeight="1">
      <x:c r="A4" s="28" t="str">
        <x:v>Ordem</x:v>
      </x:c>
      <x:c r="B4" s="28" t="str">
        <x:v>ID</x:v>
      </x:c>
      <x:c r="C4" s="28" t="str">
        <x:v>Tela / componente</x:v>
      </x:c>
      <x:c r="D4" s="28" t="str">
        <x:v>Estado / cenário</x:v>
      </x:c>
      <x:c r="E4" s="28" t="str">
        <x:v>Categoria</x:v>
      </x:c>
      <x:c r="F4" s="28" t="str">
        <x:v>Prioridade</x:v>
      </x:c>
      <x:c r="G4" s="28" t="str">
        <x:v>Pré-condições</x:v>
      </x:c>
      <x:c r="H4" s="28" t="str">
        <x:v>Passo a passo</x:v>
      </x:c>
      <x:c r="I4" s="28" t="str">
        <x:v>Resultado esperado</x:v>
      </x:c>
      <x:c r="J4" s="28" t="str">
        <x:v>Referência design / código</x:v>
      </x:c>
      <x:c r="K4" s="28" t="str">
        <x:v>Ação / alvo</x:v>
      </x:c>
      <x:c r="L4" s="28" t="str">
        <x:v>X base 390</x:v>
      </x:c>
      <x:c r="M4" s="28" t="str">
        <x:v>Y base 820</x:v>
      </x:c>
      <x:c r="N4" s="28" t="str">
        <x:v>X device</x:v>
      </x:c>
      <x:c r="O4" s="28" t="str">
        <x:v>Y device</x:v>
      </x:c>
      <x:c r="P4" s="28" t="str">
        <x:v>Seletor preferencial</x:v>
      </x:c>
      <x:c r="Q4" s="28" t="str">
        <x:v>Evidência esperada</x:v>
      </x:c>
      <x:c r="R4" s="28" t="str">
        <x:v>Status</x:v>
      </x:c>
      <x:c r="S4" s="28" t="str">
        <x:v>Bug GitHub</x:v>
      </x:c>
      <x:c r="T4" s="28" t="str">
        <x:v>Observações</x:v>
      </x:c>
      <x:c r="U4" s="28" t="str">
        <x:v>Bloqueador / dependência</x:v>
      </x:c>
    </x:row>
    <x:row r="5" ht="78" customHeight="1">
      <x:c r="A5" s="52" t="n">
        <x:v>1</x:v>
      </x:c>
      <x:c r="B5" s="36" t="str">
        <x:v>E2E-001</x:v>
      </x:c>
      <x:c r="C5" s="36" t="str">
        <x:v>Jornada principal</x:v>
      </x:c>
      <x:c r="D5" s="36" t="str">
        <x:v>Primeiro uso até primeiro resultado</x:v>
      </x:c>
      <x:c r="E5" s="36" t="str">
        <x:v>E2E</x:v>
      </x:c>
      <x:c r="F5" s="52" t="str">
        <x:v>P0</x:v>
      </x:c>
      <x:c r="G5" s="36" t="str">
        <x:v>Instalação limpa, internet Wi-Fi</x:v>
      </x:c>
      <x:c r="H5" s="36" t="str">
        <x:v>1. Concluir onboarding sem permissões opcionais
2. Conceder localização quando contextual
3. Abrir Velocidade
4. Executar teste
5. Abrir resultado
6. Ver recomendações
7. Voltar à Home</x:v>
      </x:c>
      <x:c r="I5" s="36" t="str">
        <x:v>Jornada completa sem dead-end, crash ou tela obsoleta; resultado persistido e laudo coerente.</x:v>
      </x:c>
      <x:c r="J5" s="36" t="str">
        <x:v>Fluxo Onboarding→Speed→Resultado→Laudo→Home</x:v>
      </x:c>
      <x:c r="K5" s="36" t="str"/>
      <x:c r="L5" s="52"/>
      <x:c r="M5" s="52"/>
      <x:c r="N5" s="52" t="str">
        <x:f>IF(L5="","",ROUND(L5*'00_Leia_Primeiro'!$B$15/'00_Leia_Primeiro'!$B$13,0))</x:f>
      </x:c>
      <x:c r="O5" s="52" t="str">
        <x:f>IF(M5="","",ROUND(M5*'00_Leia_Primeiro'!$B$16/'00_Leia_Primeiro'!$B$14,0))</x:f>
      </x:c>
      <x:c r="P5" s="36" t="str"/>
      <x:c r="Q5" s="36" t="str">
        <x:v>Screenshot + logcat do período</x:v>
      </x:c>
      <x:c r="R5" s="52" t="str">
        <x:v>Não iniciado</x:v>
      </x:c>
      <x:c r="S5" s="36" t="str"/>
      <x:c r="T5" s="36" t="str"/>
      <x:c r="U5" s="36" t="str"/>
    </x:row>
    <x:row r="6" ht="78" customHeight="1">
      <x:c r="A6" s="52" t="n">
        <x:v>2</x:v>
      </x:c>
      <x:c r="B6" s="36" t="str">
        <x:v>E2E-002</x:v>
      </x:c>
      <x:c r="C6" s="36" t="str">
        <x:v>Jornada principal</x:v>
      </x:c>
      <x:c r="D6" s="36" t="str">
        <x:v>Home até DNS e retorno</x:v>
      </x:c>
      <x:c r="E6" s="36" t="str">
        <x:v>E2E</x:v>
      </x:c>
      <x:c r="F6" s="52" t="str">
        <x:v>P1</x:v>
      </x:c>
      <x:c r="G6" s="36" t="str">
        <x:v>Home carregada</x:v>
      </x:c>
      <x:c r="H6" s="36" t="str">
        <x:v>1. Home &gt; DNS
2. Executar benchmark
3. Abrir guia
4. Voltar duas vezes</x:v>
      </x:c>
      <x:c r="I6" s="36" t="str">
        <x:v>Retorna exatamente à Home com resultado DNS preservado enquanto esperado.</x:v>
      </x:c>
      <x:c r="J6" s="36" t="str">
        <x:v>Overlay stack</x:v>
      </x:c>
      <x:c r="K6" s="36" t="str"/>
      <x:c r="L6" s="52"/>
      <x:c r="M6" s="52"/>
      <x:c r="N6" s="52" t="str">
        <x:f>IF(L6="","",ROUND(L6*'00_Leia_Primeiro'!$B$15/'00_Leia_Primeiro'!$B$13,0))</x:f>
      </x:c>
      <x:c r="O6" s="52" t="str">
        <x:f>IF(M6="","",ROUND(M6*'00_Leia_Primeiro'!$B$16/'00_Leia_Primeiro'!$B$14,0))</x:f>
      </x:c>
      <x:c r="P6" s="36" t="str"/>
      <x:c r="Q6" s="36" t="str">
        <x:v>Screenshot + logcat do período</x:v>
      </x:c>
      <x:c r="R6" s="52" t="str">
        <x:v>Não iniciado</x:v>
      </x:c>
      <x:c r="S6" s="36" t="str"/>
      <x:c r="T6" s="36" t="str"/>
      <x:c r="U6" s="36" t="str"/>
    </x:row>
    <x:row r="7" ht="78" customHeight="1">
      <x:c r="A7" s="52" t="n">
        <x:v>3</x:v>
      </x:c>
      <x:c r="B7" s="36" t="str">
        <x:v>E2E-003</x:v>
      </x:c>
      <x:c r="C7" s="36" t="str">
        <x:v>Jornada principal</x:v>
      </x:c>
      <x:c r="D7" s="36" t="str">
        <x:v>Home até Sinal e detalhe</x:v>
      </x:c>
      <x:c r="E7" s="36" t="str">
        <x:v>E2E</x:v>
      </x:c>
      <x:c r="F7" s="52" t="str">
        <x:v>P1</x:v>
      </x:c>
      <x:c r="G7" s="36" t="str">
        <x:v>Wi-Fi conectado</x:v>
      </x:c>
      <x:c r="H7" s="36" t="str">
        <x:v>1. Home &gt; resumo Wi-Fi
2. Selecionar Canal
3. Abrir detalhe
4. Fechar
5. Pressionar back</x:v>
      </x:c>
      <x:c r="I7" s="36" t="str">
        <x:v>Navega por aba Sinal; sheet fecha preservando tab; back segue regra normal.</x:v>
      </x:c>
      <x:c r="J7" s="36" t="str">
        <x:v>Home onAbrirRedes</x:v>
      </x:c>
      <x:c r="K7" s="36" t="str"/>
      <x:c r="L7" s="52"/>
      <x:c r="M7" s="52"/>
      <x:c r="N7" s="52" t="str">
        <x:f>IF(L7="","",ROUND(L7*'00_Leia_Primeiro'!$B$15/'00_Leia_Primeiro'!$B$13,0))</x:f>
      </x:c>
      <x:c r="O7" s="52" t="str">
        <x:f>IF(M7="","",ROUND(M7*'00_Leia_Primeiro'!$B$16/'00_Leia_Primeiro'!$B$14,0))</x:f>
      </x:c>
      <x:c r="P7" s="36" t="str"/>
      <x:c r="Q7" s="36" t="str">
        <x:v>Screenshot + logcat do período</x:v>
      </x:c>
      <x:c r="R7" s="52" t="str">
        <x:v>Não iniciado</x:v>
      </x:c>
      <x:c r="S7" s="36" t="str"/>
      <x:c r="T7" s="36" t="str"/>
      <x:c r="U7" s="36" t="str"/>
    </x:row>
    <x:row r="8" ht="78" customHeight="1">
      <x:c r="A8" s="52" t="n">
        <x:v>4</x:v>
      </x:c>
      <x:c r="B8" s="36" t="str">
        <x:v>E2E-004</x:v>
      </x:c>
      <x:c r="C8" s="36" t="str">
        <x:v>Jornada de equipamento</x:v>
      </x:c>
      <x:c r="D8" s="36" t="str">
        <x:v>Gateway login até equipamento</x:v>
      </x:c>
      <x:c r="E8" s="36" t="str">
        <x:v>E2E</x:v>
      </x:c>
      <x:c r="F8" s="52" t="str">
        <x:v>P0</x:v>
      </x:c>
      <x:c r="G8" s="36" t="str">
        <x:v>Roteador confirmado e sem sessão</x:v>
      </x:c>
      <x:c r="H8" s="36" t="str">
        <x:v>1. Home &gt; gateway
2. Preencher credenciais
3. Conectar
4. Abrir seções disponíveis
5. Voltar</x:v>
      </x:c>
      <x:c r="I8" s="36" t="str">
        <x:v>Login, persistência e tela de equipamento funcionam; back retorna à Home; senha não aparece nos logs.</x:v>
      </x:c>
      <x:c r="J8" s="36" t="str">
        <x:v>GatewayConnection + EquipamentoInternet</x:v>
      </x:c>
      <x:c r="K8" s="36" t="str"/>
      <x:c r="L8" s="52"/>
      <x:c r="M8" s="52"/>
      <x:c r="N8" s="52" t="str">
        <x:f>IF(L8="","",ROUND(L8*'00_Leia_Primeiro'!$B$15/'00_Leia_Primeiro'!$B$13,0))</x:f>
      </x:c>
      <x:c r="O8" s="52" t="str">
        <x:f>IF(M8="","",ROUND(M8*'00_Leia_Primeiro'!$B$16/'00_Leia_Primeiro'!$B$14,0))</x:f>
      </x:c>
      <x:c r="P8" s="36" t="str"/>
      <x:c r="Q8" s="36" t="str">
        <x:v>Screenshot + logcat do período</x:v>
      </x:c>
      <x:c r="R8" s="52" t="str">
        <x:v>Não iniciado</x:v>
      </x:c>
      <x:c r="S8" s="36" t="str"/>
      <x:c r="T8" s="36" t="str"/>
      <x:c r="U8" s="36" t="str"/>
    </x:row>
    <x:row r="9" ht="78" customHeight="1">
      <x:c r="A9" s="52" t="n">
        <x:v>5</x:v>
      </x:c>
      <x:c r="B9" s="36" t="str">
        <x:v>E2E-005</x:v>
      </x:c>
      <x:c r="C9" s="36" t="str">
        <x:v>Jornada de histórico</x:v>
      </x:c>
      <x:c r="D9" s="36" t="str">
        <x:v>Teste até exportação</x:v>
      </x:c>
      <x:c r="E9" s="36" t="str">
        <x:v>E2E</x:v>
      </x:c>
      <x:c r="F9" s="52" t="str">
        <x:v>P0</x:v>
      </x:c>
      <x:c r="G9" s="36" t="str">
        <x:v>Internet disponível</x:v>
      </x:c>
      <x:c r="H9" s="36" t="str">
        <x:v>1. Executar teste
2. Anotar resultado
3. Abrir Histórico
4. Abrir detalhe
5. Exportar</x:v>
      </x:c>
      <x:c r="I9" s="36" t="str">
        <x:v>Mesmos dados em resultado/detalhe/export; uma entrada; arquivo gerado.</x:v>
      </x:c>
      <x:c r="J9" s="36" t="str">
        <x:v>Speedtest persistence + History export</x:v>
      </x:c>
      <x:c r="K9" s="36" t="str"/>
      <x:c r="L9" s="52"/>
      <x:c r="M9" s="52"/>
      <x:c r="N9" s="52" t="str">
        <x:f>IF(L9="","",ROUND(L9*'00_Leia_Primeiro'!$B$15/'00_Leia_Primeiro'!$B$13,0))</x:f>
      </x:c>
      <x:c r="O9" s="52" t="str">
        <x:f>IF(M9="","",ROUND(M9*'00_Leia_Primeiro'!$B$16/'00_Leia_Primeiro'!$B$14,0))</x:f>
      </x:c>
      <x:c r="P9" s="36" t="str"/>
      <x:c r="Q9" s="36" t="str">
        <x:v>Screenshot + logcat do período</x:v>
      </x:c>
      <x:c r="R9" s="52" t="str">
        <x:v>Não iniciado</x:v>
      </x:c>
      <x:c r="S9" s="36" t="str"/>
      <x:c r="T9" s="36" t="str"/>
      <x:c r="U9" s="36" t="str"/>
    </x:row>
    <x:row r="10" ht="78" customHeight="1">
      <x:c r="A10" s="52" t="n">
        <x:v>6</x:v>
      </x:c>
      <x:c r="B10" s="36" t="str">
        <x:v>E2E-006</x:v>
      </x:c>
      <x:c r="C10" s="36" t="str">
        <x:v>Jornada de perfil</x:v>
      </x:c>
      <x:c r="D10" s="36" t="str">
        <x:v>Configurar conexão e usar diagnóstico</x:v>
      </x:c>
      <x:c r="E10" s="36" t="str">
        <x:v>E2E</x:v>
      </x:c>
      <x:c r="F10" s="52" t="str">
        <x:v>P1</x:v>
      </x:c>
      <x:c r="G10" s="36" t="str">
        <x:v>Perfil acessível</x:v>
      </x:c>
      <x:c r="H10" s="36" t="str">
        <x:v>1. Salvar operadora/cidade/plano
2. Executar novo teste
3. Abrir Laudo</x:v>
      </x:c>
      <x:c r="I10" s="36" t="str">
        <x:v>Dados cadastrais aparecem onde aplicável e influenciam comparações sem substituir medição real.</x:v>
      </x:c>
      <x:c r="J10" s="36" t="str">
        <x:v>MinhaConexaoSheet + diagnóstico</x:v>
      </x:c>
      <x:c r="K10" s="36" t="str"/>
      <x:c r="L10" s="52"/>
      <x:c r="M10" s="52"/>
      <x:c r="N10" s="52" t="str">
        <x:f>IF(L10="","",ROUND(L10*'00_Leia_Primeiro'!$B$15/'00_Leia_Primeiro'!$B$13,0))</x:f>
      </x:c>
      <x:c r="O10" s="52" t="str">
        <x:f>IF(M10="","",ROUND(M10*'00_Leia_Primeiro'!$B$16/'00_Leia_Primeiro'!$B$14,0))</x:f>
      </x:c>
      <x:c r="P10" s="36" t="str"/>
      <x:c r="Q10" s="36" t="str">
        <x:v>Screenshot + logcat do período</x:v>
      </x:c>
      <x:c r="R10" s="52" t="str">
        <x:v>Não iniciado</x:v>
      </x:c>
      <x:c r="S10" s="36" t="str"/>
      <x:c r="T10" s="36" t="str"/>
      <x:c r="U10" s="36" t="str"/>
    </x:row>
    <x:row r="11" ht="78" customHeight="1">
      <x:c r="A11" s="52" t="n">
        <x:v>7</x:v>
      </x:c>
      <x:c r="B11" s="36" t="str">
        <x:v>E2E-007</x:v>
      </x:c>
      <x:c r="C11" s="36" t="str">
        <x:v>Permissões</x:v>
      </x:c>
      <x:c r="D11" s="36" t="str">
        <x:v>Negar, recuperar e continuar</x:v>
      </x:c>
      <x:c r="E11" s="36" t="str">
        <x:v>E2E</x:v>
      </x:c>
      <x:c r="F11" s="52" t="str">
        <x:v>P0</x:v>
      </x:c>
      <x:c r="G11" s="36" t="str">
        <x:v>Permissões revogadas</x:v>
      </x:c>
      <x:c r="H11" s="36" t="str">
        <x:v>1. Abrir Sinal e negar/ir às configurações
2. Voltar sem conceder
3. Repetir e conceder
4. Abrir Móvel e repetir</x:v>
      </x:c>
      <x:c r="I11" s="36" t="str">
        <x:v>App funciona degradado, orienta sem assédio, recupera ao conceder e não requer reinstalação.</x:v>
      </x:c>
      <x:c r="J11" s="36" t="str">
        <x:v>MainActivity permission flow</x:v>
      </x:c>
      <x:c r="K11" s="36" t="str"/>
      <x:c r="L11" s="52"/>
      <x:c r="M11" s="52"/>
      <x:c r="N11" s="52" t="str">
        <x:f>IF(L11="","",ROUND(L11*'00_Leia_Primeiro'!$B$15/'00_Leia_Primeiro'!$B$13,0))</x:f>
      </x:c>
      <x:c r="O11" s="52" t="str">
        <x:f>IF(M11="","",ROUND(M11*'00_Leia_Primeiro'!$B$16/'00_Leia_Primeiro'!$B$14,0))</x:f>
      </x:c>
      <x:c r="P11" s="36" t="str"/>
      <x:c r="Q11" s="36" t="str">
        <x:v>Screenshot + logcat do período</x:v>
      </x:c>
      <x:c r="R11" s="52" t="str">
        <x:v>Não iniciado</x:v>
      </x:c>
      <x:c r="S11" s="36" t="str"/>
      <x:c r="T11" s="36" t="str"/>
      <x:c r="U11" s="36" t="str"/>
    </x:row>
    <x:row r="12" ht="78" customHeight="1">
      <x:c r="A12" s="52" t="n">
        <x:v>8</x:v>
      </x:c>
      <x:c r="B12" s="36" t="str">
        <x:v>E2E-008</x:v>
      </x:c>
      <x:c r="C12" s="36" t="str">
        <x:v>Topologia</x:v>
      </x:c>
      <x:c r="D12" s="36" t="str">
        <x:v>Consistência Home/Sinal/Dispositivos/Laudo</x:v>
      </x:c>
      <x:c r="E12" s="36" t="str">
        <x:v>E2E</x:v>
      </x:c>
      <x:c r="F12" s="52" t="str">
        <x:v>P0</x:v>
      </x:c>
      <x:c r="G12" s="36" t="str">
        <x:v>Rede com gateway/mesh conhecido</x:v>
      </x:c>
      <x:c r="H12" s="36" t="str">
        <x:v>1. Registrar topologia em Home
2. Registrar em Sinal
3. Abrir detalhe de dispositivo correlacionado
4. Abrir Laudo</x:v>
      </x:c>
      <x:c r="I12" s="36" t="str">
        <x:v>Uma fonte de verdade sem contradições; nível de confiança e recomendação alinhados.</x:v>
      </x:c>
      <x:c r="J12" s="36" t="str">
        <x:v>TopologiaRedeEngine Fases 2A–4</x:v>
      </x:c>
      <x:c r="K12" s="36" t="str"/>
      <x:c r="L12" s="52"/>
      <x:c r="M12" s="52"/>
      <x:c r="N12" s="52" t="str">
        <x:f>IF(L12="","",ROUND(L12*'00_Leia_Primeiro'!$B$15/'00_Leia_Primeiro'!$B$13,0))</x:f>
      </x:c>
      <x:c r="O12" s="52" t="str">
        <x:f>IF(M12="","",ROUND(M12*'00_Leia_Primeiro'!$B$16/'00_Leia_Primeiro'!$B$14,0))</x:f>
      </x:c>
      <x:c r="P12" s="36" t="str"/>
      <x:c r="Q12" s="36" t="str">
        <x:v>Screenshot + logcat do período</x:v>
      </x:c>
      <x:c r="R12" s="52" t="str">
        <x:v>Não iniciado</x:v>
      </x:c>
      <x:c r="S12" s="36" t="str"/>
      <x:c r="T12" s="36" t="str"/>
      <x:c r="U12" s="36" t="str"/>
    </x:row>
    <x:row r="13" ht="78" customHeight="1">
      <x:c r="A13" s="52" t="n">
        <x:v>9</x:v>
      </x:c>
      <x:c r="B13" s="36" t="str">
        <x:v>E2E-009</x:v>
      </x:c>
      <x:c r="C13" s="36" t="str">
        <x:v>Tema</x:v>
      </x:c>
      <x:c r="D13" s="36" t="str">
        <x:v>Troca de tema durante jornada</x:v>
      </x:c>
      <x:c r="E13" s="36" t="str">
        <x:v>E2E</x:v>
      </x:c>
      <x:c r="F13" s="52" t="str">
        <x:v>P1</x:v>
      </x:c>
      <x:c r="G13" s="36" t="str">
        <x:v>Resultado e histórico existentes</x:v>
      </x:c>
      <x:c r="H13" s="36" t="str">
        <x:v>1. Abrir Perfil e trocar tema
2. Visitar Home, Resultado, Sinal, Histórico, DNS e Laudo
3. Reiniciar</x:v>
      </x:c>
      <x:c r="I13" s="36" t="str">
        <x:v>Tema aplica em todas as superfícies/sheets, sem tela presa no tema anterior; persiste.</x:v>
      </x:c>
      <x:c r="J13" s="36" t="str">
        <x:v>SignallQTheme</x:v>
      </x:c>
      <x:c r="K13" s="36" t="str"/>
      <x:c r="L13" s="52"/>
      <x:c r="M13" s="52"/>
      <x:c r="N13" s="52" t="str">
        <x:f>IF(L13="","",ROUND(L13*'00_Leia_Primeiro'!$B$15/'00_Leia_Primeiro'!$B$13,0))</x:f>
      </x:c>
      <x:c r="O13" s="52" t="str">
        <x:f>IF(M13="","",ROUND(M13*'00_Leia_Primeiro'!$B$16/'00_Leia_Primeiro'!$B$14,0))</x:f>
      </x:c>
      <x:c r="P13" s="36" t="str"/>
      <x:c r="Q13" s="36" t="str">
        <x:v>Screenshot + logcat do período</x:v>
      </x:c>
      <x:c r="R13" s="52" t="str">
        <x:v>Não iniciado</x:v>
      </x:c>
      <x:c r="S13" s="36" t="str"/>
      <x:c r="T13" s="36" t="str"/>
      <x:c r="U13" s="36" t="str"/>
    </x:row>
    <x:row r="14" ht="78" customHeight="1">
      <x:c r="A14" s="52" t="n">
        <x:v>10</x:v>
      </x:c>
      <x:c r="B14" s="36" t="str">
        <x:v>E2E-010</x:v>
      </x:c>
      <x:c r="C14" s="36" t="str">
        <x:v>Resiliência</x:v>
      </x:c>
      <x:c r="D14" s="36" t="str">
        <x:v>Perda e retorno de rede</x:v>
      </x:c>
      <x:c r="E14" s="36" t="str">
        <x:v>E2E</x:v>
      </x:c>
      <x:c r="F14" s="52" t="str">
        <x:v>P0</x:v>
      </x:c>
      <x:c r="G14" s="36" t="str">
        <x:v>App aberto</x:v>
      </x:c>
      <x:c r="H14" s="36" t="str">
        <x:v>1. Desligar rede na Home
2. Abrir Speed e tentar
3. Restaurar rede
4. Abrir Sinal e DNS
5. Executar novamente</x:v>
      </x:c>
      <x:c r="I14" s="36" t="str">
        <x:v>Estados se atualizam e recuperam sem force-stop; nenhum dado stale crítico; sem crash.</x:v>
      </x:c>
      <x:c r="J14" s="36" t="str">
        <x:v>NetworkCallback/StateFlow</x:v>
      </x:c>
      <x:c r="K14" s="36" t="str"/>
      <x:c r="L14" s="52"/>
      <x:c r="M14" s="52"/>
      <x:c r="N14" s="52" t="str">
        <x:f>IF(L14="","",ROUND(L14*'00_Leia_Primeiro'!$B$15/'00_Leia_Primeiro'!$B$13,0))</x:f>
      </x:c>
      <x:c r="O14" s="52" t="str">
        <x:f>IF(M14="","",ROUND(M14*'00_Leia_Primeiro'!$B$16/'00_Leia_Primeiro'!$B$14,0))</x:f>
      </x:c>
      <x:c r="P14" s="36" t="str"/>
      <x:c r="Q14" s="36" t="str">
        <x:v>Screenshot + logcat do período</x:v>
      </x:c>
      <x:c r="R14" s="52" t="str">
        <x:v>Não iniciado</x:v>
      </x:c>
      <x:c r="S14" s="36" t="str"/>
      <x:c r="T14" s="36" t="str"/>
      <x:c r="U14" s="36" t="str"/>
    </x:row>
    <x:row r="15" ht="78" customHeight="1">
      <x:c r="A15" s="52" t="n">
        <x:v>11</x:v>
      </x:c>
      <x:c r="B15" s="36" t="str">
        <x:v>E2E-011</x:v>
      </x:c>
      <x:c r="C15" s="36" t="str">
        <x:v>Navegação</x:v>
      </x:c>
      <x:c r="D15" s="36" t="str">
        <x:v>Stress de overlays e back</x:v>
      </x:c>
      <x:c r="E15" s="36" t="str">
        <x:v>E2E</x:v>
      </x:c>
      <x:c r="F15" s="52" t="str">
        <x:v>P1</x:v>
      </x:c>
      <x:c r="G15" s="36" t="str">
        <x:v>App carregado</x:v>
      </x:c>
      <x:c r="H15" s="36" t="str">
        <x:v>1. Abrir Perfil &gt; Privacidade &gt; voltar
2. Ferramentas &gt; DNS &gt; voltar
3. Home &gt; gateway &gt; guia &gt; voltar
4. Repetir 5 ciclos</x:v>
      </x:c>
      <x:c r="I15" s="36" t="str">
        <x:v>Pilha permanece correta, sem tela fantasma, overlay duplicado ou saída do app.</x:v>
      </x:c>
      <x:c r="J15" s="36" t="str">
        <x:v>overlayStack</x:v>
      </x:c>
      <x:c r="K15" s="36" t="str"/>
      <x:c r="L15" s="52"/>
      <x:c r="M15" s="52"/>
      <x:c r="N15" s="52" t="str">
        <x:f>IF(L15="","",ROUND(L15*'00_Leia_Primeiro'!$B$15/'00_Leia_Primeiro'!$B$13,0))</x:f>
      </x:c>
      <x:c r="O15" s="52" t="str">
        <x:f>IF(M15="","",ROUND(M15*'00_Leia_Primeiro'!$B$16/'00_Leia_Primeiro'!$B$14,0))</x:f>
      </x:c>
      <x:c r="P15" s="36" t="str"/>
      <x:c r="Q15" s="36" t="str">
        <x:v>Screenshot + logcat do período</x:v>
      </x:c>
      <x:c r="R15" s="52" t="str">
        <x:v>Não iniciado</x:v>
      </x:c>
      <x:c r="S15" s="36" t="str"/>
      <x:c r="T15" s="36" t="str"/>
      <x:c r="U15" s="36" t="str"/>
    </x:row>
    <x:row r="16" ht="78" customHeight="1">
      <x:c r="A16" s="52" t="n">
        <x:v>12</x:v>
      </x:c>
      <x:c r="B16" s="36" t="str">
        <x:v>E2E-012</x:v>
      </x:c>
      <x:c r="C16" s="36" t="str">
        <x:v>Acessibilidade</x:v>
      </x:c>
      <x:c r="D16" s="36" t="str">
        <x:v>Jornada com fonte 1.5</x:v>
      </x:c>
      <x:c r="E16" s="36" t="str">
        <x:v>E2E</x:v>
      </x:c>
      <x:c r="F16" s="52" t="str">
        <x:v>P0</x:v>
      </x:c>
      <x:c r="G16" s="36" t="str">
        <x:v>font_scale 1.5</x:v>
      </x:c>
      <x:c r="H16" s="36" t="str">
        <x:v>1. Onboarding ou Perfil
2. Executar teste
3. Abrir Resultado e Laudo
4. Voltar</x:v>
      </x:c>
      <x:c r="I16" s="36" t="str">
        <x:v>Todos os CTAs essenciais acessíveis; texto sem corte; scroll disponível.</x:v>
      </x:c>
      <x:c r="J16" s="36" t="str">
        <x:v>Responsive fixes</x:v>
      </x:c>
      <x:c r="K16" s="36" t="str"/>
      <x:c r="L16" s="52"/>
      <x:c r="M16" s="52"/>
      <x:c r="N16" s="52" t="str">
        <x:f>IF(L16="","",ROUND(L16*'00_Leia_Primeiro'!$B$15/'00_Leia_Primeiro'!$B$13,0))</x:f>
      </x:c>
      <x:c r="O16" s="52" t="str">
        <x:f>IF(M16="","",ROUND(M16*'00_Leia_Primeiro'!$B$16/'00_Leia_Primeiro'!$B$14,0))</x:f>
      </x:c>
      <x:c r="P16" s="36" t="str"/>
      <x:c r="Q16" s="36" t="str">
        <x:v>Screenshot + logcat do período</x:v>
      </x:c>
      <x:c r="R16" s="52" t="str">
        <x:v>Não iniciado</x:v>
      </x:c>
      <x:c r="S16" s="36" t="str"/>
      <x:c r="T16" s="36" t="str"/>
      <x:c r="U16" s="36" t="str"/>
    </x:row>
    <x:row r="17" ht="78" customHeight="1">
      <x:c r="A17" s="52" t="n">
        <x:v>13</x:v>
      </x:c>
      <x:c r="B17" s="36" t="str">
        <x:v>E2E-013</x:v>
      </x:c>
      <x:c r="C17" s="36" t="str">
        <x:v>Performance</x:v>
      </x:c>
      <x:c r="D17" s="36" t="str">
        <x:v>Sessão de 20 minutos</x:v>
      </x:c>
      <x:c r="E17" s="36" t="str">
        <x:v>E2E</x:v>
      </x:c>
      <x:c r="F17" s="52" t="str">
        <x:v>P1</x:v>
      </x:c>
      <x:c r="G17" s="36" t="str">
        <x:v>ADB/profiler disponível</x:v>
      </x:c>
      <x:c r="H17" s="36" t="str">
        <x:v>1. Alternar abas e overlays
2. Executar 2 speedtests, DNS e scans
3. Monitorar memória, CPU e logcat</x:v>
      </x:c>
      <x:c r="I17" s="36" t="str">
        <x:v>Sem ANR/crash/vazamento evidente; interações continuam responsivas.</x:v>
      </x:c>
      <x:c r="J17" s="36" t="str">
        <x:v>Android vitals baseline</x:v>
      </x:c>
      <x:c r="K17" s="36" t="str"/>
      <x:c r="L17" s="52"/>
      <x:c r="M17" s="52"/>
      <x:c r="N17" s="52" t="str">
        <x:f>IF(L17="","",ROUND(L17*'00_Leia_Primeiro'!$B$15/'00_Leia_Primeiro'!$B$13,0))</x:f>
      </x:c>
      <x:c r="O17" s="52" t="str">
        <x:f>IF(M17="","",ROUND(M17*'00_Leia_Primeiro'!$B$16/'00_Leia_Primeiro'!$B$14,0))</x:f>
      </x:c>
      <x:c r="P17" s="36" t="str"/>
      <x:c r="Q17" s="36" t="str">
        <x:v>Screenshot + logcat do período</x:v>
      </x:c>
      <x:c r="R17" s="52" t="str">
        <x:v>Não iniciado</x:v>
      </x:c>
      <x:c r="S17" s="36" t="str"/>
      <x:c r="T17" s="36" t="str"/>
      <x:c r="U17" s="36" t="str"/>
    </x:row>
    <x:row r="18" ht="78" customHeight="1">
      <x:c r="A18" s="52" t="n">
        <x:v>14</x:v>
      </x:c>
      <x:c r="B18" s="36" t="str">
        <x:v>E2E-014</x:v>
      </x:c>
      <x:c r="C18" s="36" t="str">
        <x:v>Relatório final</x:v>
      </x:c>
      <x:c r="D18" s="36" t="str">
        <x:v>Reteste de falhas e criação de issues</x:v>
      </x:c>
      <x:c r="E18" s="36" t="str">
        <x:v>E2E</x:v>
      </x:c>
      <x:c r="F18" s="52" t="str">
        <x:v>P0</x:v>
      </x:c>
      <x:c r="G18" s="36" t="str">
        <x:v>Todos os casos executados</x:v>
      </x:c>
      <x:c r="H18" s="36" t="str">
        <x:v>1. Filtrar status Falhou
2. Retestar cada falha em sessão limpa
3. Pesquisar issues existentes
4. Agrupar por causa raiz
5. Criar issues somente para falhas reproduzíveis</x:v>
      </x:c>
      <x:c r="I18" s="36" t="str">
        <x:v>Cada bug reproduzível vira issue única com IDs, ambiente, passos, esperado/atual, evidências e logs; duplicatas recebem comentário, não nova issue.</x:v>
      </x:c>
      <x:c r="J18" s="36" t="str">
        <x:v>Aba 11_Bugs_GitHub</x:v>
      </x:c>
      <x:c r="K18" s="36" t="str"/>
      <x:c r="L18" s="52"/>
      <x:c r="M18" s="52"/>
      <x:c r="N18" s="52" t="str">
        <x:f>IF(L18="","",ROUND(L18*'00_Leia_Primeiro'!$B$15/'00_Leia_Primeiro'!$B$13,0))</x:f>
      </x:c>
      <x:c r="O18" s="52" t="str">
        <x:f>IF(M18="","",ROUND(M18*'00_Leia_Primeiro'!$B$16/'00_Leia_Primeiro'!$B$14,0))</x:f>
      </x:c>
      <x:c r="P18" s="36" t="str"/>
      <x:c r="Q18" s="36" t="str">
        <x:v>Screenshot + logcat do período</x:v>
      </x:c>
      <x:c r="R18" s="52" t="str">
        <x:v>Não iniciado</x:v>
      </x:c>
      <x:c r="S18" s="36" t="str"/>
      <x:c r="T18" s="36" t="str"/>
      <x:c r="U18" s="36" t="str"/>
    </x:row>
  </x:sheetData>
  <x:mergeCells>
    <x:mergeCell ref="A1:U1"/>
    <x:mergeCell ref="A2:U2"/>
  </x:mergeCells>
  <x:conditionalFormatting sqref="R5:R18">
    <x:cfRule type="expression" dxfId="49" priority="1">
      <x:formula>R5="Passou"</x:formula>
    </x:cfRule>
    <x:cfRule type="expression" dxfId="50" priority="2">
      <x:formula>R5="Falhou"</x:formula>
    </x:cfRule>
    <x:cfRule type="expression" dxfId="51" priority="3">
      <x:formula>R5="Bloqueado"</x:formula>
    </x:cfRule>
    <x:cfRule type="expression" dxfId="52" priority="4">
      <x:formula>R5="Em execução"</x:formula>
    </x:cfRule>
    <x:cfRule type="expression" dxfId="53" priority="5">
      <x:formula>R5="N/A"</x:formula>
    </x:cfRule>
  </x:conditionalFormatting>
  <x:conditionalFormatting sqref="F5:F18">
    <x:cfRule type="expression" dxfId="54" priority="6">
      <x:formula>F5="P0"</x:formula>
    </x:cfRule>
    <x:cfRule type="expression" dxfId="55" priority="7">
      <x:formula>F5="P1"</x:formula>
    </x:cfRule>
  </x:conditionalFormatting>
  <x:dataValidations count="2">
    <x:dataValidation type="list" sqref="F5:F18">
      <x:formula1>"P0,P1,P2,P3"</x:formula1>
    </x:dataValidation>
    <x:dataValidation type="list" sqref="R5:R18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4c501c8d28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27" hidden="0" customWidth="1"/>
    <x:col min="5" max="5" width="27" hidden="0" customWidth="1"/>
    <x:col min="6" max="6" width="34" hidden="0" customWidth="1"/>
    <x:col min="7" max="7" width="27" hidden="0" customWidth="1"/>
    <x:col min="8" max="8" width="10" hidden="0" customWidth="1"/>
    <x:col min="9" max="9" width="16" hidden="0" customWidth="1"/>
    <x:col min="10" max="10" width="30" hidden="0" customWidth="1"/>
  </x:cols>
  <x:sheetData>
    <x:row r="1">
      <x:c r="A1" s="5" t="str">
        <x:v>Checklist de Design System To-Be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Fonte de verdade visual: SignallQ Design System (2)/tobe/theme.js + implementação Kotlin atual. Valide por screenshot/pixel sampler quando possível; não use o README AS-IS para o accent antigo.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>
      <x:c r="A4" s="28" t="str">
        <x:v>ID</x:v>
      </x:c>
      <x:c r="B4" s="28" t="str">
        <x:v>Grupo</x:v>
      </x:c>
      <x:c r="C4" s="28" t="str">
        <x:v>Token / regra</x:v>
      </x:c>
      <x:c r="D4" s="28" t="str">
        <x:v>Claro esperado</x:v>
      </x:c>
      <x:c r="E4" s="28" t="str">
        <x:v>Escuro esperado</x:v>
      </x:c>
      <x:c r="F4" s="28" t="str">
        <x:v>Como validar</x:v>
      </x:c>
      <x:c r="G4" s="28" t="str">
        <x:v>Telas mínimas</x:v>
      </x:c>
      <x:c r="H4" s="28" t="str">
        <x:v>Prioridade</x:v>
      </x:c>
      <x:c r="I4" s="28" t="str">
        <x:v>Status</x:v>
      </x:c>
      <x:c r="J4" s="28" t="str">
        <x:v>Observações</x:v>
      </x:c>
    </x:row>
    <x:row r="5" ht="52" customHeight="1">
      <x:c r="A5" s="36" t="str">
        <x:v>DS-CLR-01</x:v>
      </x:c>
      <x:c r="B5" s="36" t="str">
        <x:v>Cores</x:v>
      </x:c>
      <x:c r="C5" s="36" t="str">
        <x:v>Primary</x:v>
      </x:c>
      <x:c r="D5" s="36" t="str">
        <x:v>#5B21D6</x:v>
      </x:c>
      <x:c r="E5" s="36" t="str">
        <x:v>#D0BCFF</x:v>
      </x:c>
      <x:c r="F5" s="36" t="str">
        <x:v>Amostra em CTA/aba ativa</x:v>
      </x:c>
      <x:c r="G5" s="36" t="str">
        <x:v>Home, Speed, Sinal, Perfil</x:v>
      </x:c>
      <x:c r="H5" s="36" t="str">
        <x:v>P0</x:v>
      </x:c>
      <x:c r="I5" s="36" t="str">
        <x:v>Não iniciado</x:v>
      </x:c>
      <x:c r="J5" s="36" t="str"/>
    </x:row>
    <x:row r="6" ht="52" customHeight="1">
      <x:c r="A6" s="36" t="str">
        <x:v>DS-CLR-02</x:v>
      </x:c>
      <x:c r="B6" s="36" t="str">
        <x:v>Cores</x:v>
      </x:c>
      <x:c r="C6" s="36" t="str">
        <x:v>On primary</x:v>
      </x:c>
      <x:c r="D6" s="36" t="str">
        <x:v>#FFFFFF</x:v>
      </x:c>
      <x:c r="E6" s="36" t="str">
        <x:v>#38137E</x:v>
      </x:c>
      <x:c r="F6" s="36" t="str">
        <x:v>Texto/ícone em CTA primary</x:v>
      </x:c>
      <x:c r="G6" s="36" t="str">
        <x:v>CTAs</x:v>
      </x:c>
      <x:c r="H6" s="36" t="str">
        <x:v>P0</x:v>
      </x:c>
      <x:c r="I6" s="36" t="str">
        <x:v>Não iniciado</x:v>
      </x:c>
      <x:c r="J6" s="36" t="str"/>
    </x:row>
    <x:row r="7" ht="52" customHeight="1">
      <x:c r="A7" s="36" t="str">
        <x:v>DS-CLR-03</x:v>
      </x:c>
      <x:c r="B7" s="36" t="str">
        <x:v>Cores</x:v>
      </x:c>
      <x:c r="C7" s="36" t="str">
        <x:v>Surface</x:v>
      </x:c>
      <x:c r="D7" s="36" t="str">
        <x:v>#FFFFFF</x:v>
      </x:c>
      <x:c r="E7" s="36" t="str">
        <x:v>#131217</x:v>
      </x:c>
      <x:c r="F7" s="36" t="str">
        <x:v>Amostra fundo principal</x:v>
      </x:c>
      <x:c r="G7" s="36" t="str">
        <x:v>Todas</x:v>
      </x:c>
      <x:c r="H7" s="36" t="str">
        <x:v>P0</x:v>
      </x:c>
      <x:c r="I7" s="36" t="str">
        <x:v>Não iniciado</x:v>
      </x:c>
      <x:c r="J7" s="36" t="str"/>
    </x:row>
    <x:row r="8" ht="52" customHeight="1">
      <x:c r="A8" s="36" t="str">
        <x:v>DS-CLR-04</x:v>
      </x:c>
      <x:c r="B8" s="36" t="str">
        <x:v>Cores</x:v>
      </x:c>
      <x:c r="C8" s="36" t="str">
        <x:v>Surface container low</x:v>
      </x:c>
      <x:c r="D8" s="36" t="str">
        <x:v>#F8F5FB</x:v>
      </x:c>
      <x:c r="E8" s="36" t="str">
        <x:v>#1D1B20</x:v>
      </x:c>
      <x:c r="F8" s="36" t="str">
        <x:v>Amostra cards baixos</x:v>
      </x:c>
      <x:c r="G8" s="36" t="str">
        <x:v>Home, Histórico</x:v>
      </x:c>
      <x:c r="H8" s="36" t="str">
        <x:v>P1</x:v>
      </x:c>
      <x:c r="I8" s="36" t="str">
        <x:v>Não iniciado</x:v>
      </x:c>
      <x:c r="J8" s="36" t="str"/>
    </x:row>
    <x:row r="9" ht="52" customHeight="1">
      <x:c r="A9" s="36" t="str">
        <x:v>DS-CLR-05</x:v>
      </x:c>
      <x:c r="B9" s="36" t="str">
        <x:v>Cores</x:v>
      </x:c>
      <x:c r="C9" s="36" t="str">
        <x:v>Surface container</x:v>
      </x:c>
      <x:c r="D9" s="36" t="str">
        <x:v>#F3EEFA</x:v>
      </x:c>
      <x:c r="E9" s="36" t="str">
        <x:v>#211F26</x:v>
      </x:c>
      <x:c r="F9" s="36" t="str">
        <x:v>Amostra grupos/sheets</x:v>
      </x:c>
      <x:c r="G9" s="36" t="str">
        <x:v>Sinal, Perfil</x:v>
      </x:c>
      <x:c r="H9" s="36" t="str">
        <x:v>P1</x:v>
      </x:c>
      <x:c r="I9" s="36" t="str">
        <x:v>Não iniciado</x:v>
      </x:c>
      <x:c r="J9" s="36" t="str"/>
    </x:row>
    <x:row r="10" ht="52" customHeight="1">
      <x:c r="A10" s="36" t="str">
        <x:v>DS-CLR-06</x:v>
      </x:c>
      <x:c r="B10" s="36" t="str">
        <x:v>Cores</x:v>
      </x:c>
      <x:c r="C10" s="36" t="str">
        <x:v>On surface</x:v>
      </x:c>
      <x:c r="D10" s="36" t="str">
        <x:v>#1C1B1F</x:v>
      </x:c>
      <x:c r="E10" s="36" t="str">
        <x:v>#E6E0E9</x:v>
      </x:c>
      <x:c r="F10" s="36" t="str">
        <x:v>Contraste de texto principal</x:v>
      </x:c>
      <x:c r="G10" s="36" t="str">
        <x:v>Todas</x:v>
      </x:c>
      <x:c r="H10" s="36" t="str">
        <x:v>P0</x:v>
      </x:c>
      <x:c r="I10" s="36" t="str">
        <x:v>Não iniciado</x:v>
      </x:c>
      <x:c r="J10" s="36" t="str"/>
    </x:row>
    <x:row r="11" ht="52" customHeight="1">
      <x:c r="A11" s="36" t="str">
        <x:v>DS-CLR-07</x:v>
      </x:c>
      <x:c r="B11" s="36" t="str">
        <x:v>Cores</x:v>
      </x:c>
      <x:c r="C11" s="36" t="str">
        <x:v>On surface variant</x:v>
      </x:c>
      <x:c r="D11" s="36" t="str">
        <x:v>#49454F</x:v>
      </x:c>
      <x:c r="E11" s="36" t="str">
        <x:v>#CAC4D0</x:v>
      </x:c>
      <x:c r="F11" s="36" t="str">
        <x:v>Texto secundário</x:v>
      </x:c>
      <x:c r="G11" s="36" t="str">
        <x:v>Todas</x:v>
      </x:c>
      <x:c r="H11" s="36" t="str">
        <x:v>P1</x:v>
      </x:c>
      <x:c r="I11" s="36" t="str">
        <x:v>Não iniciado</x:v>
      </x:c>
      <x:c r="J11" s="36" t="str"/>
    </x:row>
    <x:row r="12" ht="52" customHeight="1">
      <x:c r="A12" s="36" t="str">
        <x:v>DS-CLR-08</x:v>
      </x:c>
      <x:c r="B12" s="36" t="str">
        <x:v>Cores</x:v>
      </x:c>
      <x:c r="C12" s="36" t="str">
        <x:v>Outline</x:v>
      </x:c>
      <x:c r="D12" s="36" t="str">
        <x:v>#79747E</x:v>
      </x:c>
      <x:c r="E12" s="36" t="str">
        <x:v>#948F99</x:v>
      </x:c>
      <x:c r="F12" s="36" t="str">
        <x:v>Bordas/inputs</x:v>
      </x:c>
      <x:c r="G12" s="36" t="str">
        <x:v>Forms e cards</x:v>
      </x:c>
      <x:c r="H12" s="36" t="str">
        <x:v>P1</x:v>
      </x:c>
      <x:c r="I12" s="36" t="str">
        <x:v>Não iniciado</x:v>
      </x:c>
      <x:c r="J12" s="36" t="str"/>
    </x:row>
    <x:row r="13" ht="52" customHeight="1">
      <x:c r="A13" s="36" t="str">
        <x:v>DS-CLR-09</x:v>
      </x:c>
      <x:c r="B13" s="36" t="str">
        <x:v>Estados</x:v>
      </x:c>
      <x:c r="C13" s="36" t="str">
        <x:v>Error</x:v>
      </x:c>
      <x:c r="D13" s="36" t="str">
        <x:v>#BA1A1A</x:v>
      </x:c>
      <x:c r="E13" s="36" t="str">
        <x:v>#FFB4AB</x:v>
      </x:c>
      <x:c r="F13" s="36" t="str">
        <x:v>Erros e críticos</x:v>
      </x:c>
      <x:c r="G13" s="36" t="str">
        <x:v>Speed erro, DNS erro</x:v>
      </x:c>
      <x:c r="H13" s="36" t="str">
        <x:v>P0</x:v>
      </x:c>
      <x:c r="I13" s="36" t="str">
        <x:v>Não iniciado</x:v>
      </x:c>
      <x:c r="J13" s="36" t="str"/>
    </x:row>
    <x:row r="14" ht="52" customHeight="1">
      <x:c r="A14" s="36" t="str">
        <x:v>DS-CLR-10</x:v>
      </x:c>
      <x:c r="B14" s="36" t="str">
        <x:v>Estados</x:v>
      </x:c>
      <x:c r="C14" s="36" t="str">
        <x:v>Success</x:v>
      </x:c>
      <x:c r="D14" s="36" t="str">
        <x:v>#146C2E</x:v>
      </x:c>
      <x:c r="E14" s="36" t="str">
        <x:v>#83DA99</x:v>
      </x:c>
      <x:c r="F14" s="36" t="str">
        <x:v>Estados bons/download</x:v>
      </x:c>
      <x:c r="G14" s="36" t="str">
        <x:v>Resultado, Laudo</x:v>
      </x:c>
      <x:c r="H14" s="36" t="str">
        <x:v>P0</x:v>
      </x:c>
      <x:c r="I14" s="36" t="str">
        <x:v>Não iniciado</x:v>
      </x:c>
      <x:c r="J14" s="36" t="str"/>
    </x:row>
    <x:row r="15" ht="52" customHeight="1">
      <x:c r="A15" s="36" t="str">
        <x:v>DS-CLR-11</x:v>
      </x:c>
      <x:c r="B15" s="36" t="str">
        <x:v>Estados</x:v>
      </x:c>
      <x:c r="C15" s="36" t="str">
        <x:v>Warning</x:v>
      </x:c>
      <x:c r="D15" s="36" t="str">
        <x:v>#8A5000</x:v>
      </x:c>
      <x:c r="E15" s="36" t="str">
        <x:v>#FFB870</x:v>
      </x:c>
      <x:c r="F15" s="36" t="str">
        <x:v>Atenção/upload</x:v>
      </x:c>
      <x:c r="G15" s="36" t="str">
        <x:v>Resultado, Laudo</x:v>
      </x:c>
      <x:c r="H15" s="36" t="str">
        <x:v>P0</x:v>
      </x:c>
      <x:c r="I15" s="36" t="str">
        <x:v>Não iniciado</x:v>
      </x:c>
      <x:c r="J15" s="36" t="str"/>
    </x:row>
    <x:row r="16" ht="52" customHeight="1">
      <x:c r="A16" s="36" t="str">
        <x:v>DS-CLR-12</x:v>
      </x:c>
      <x:c r="B16" s="36" t="str">
        <x:v>Fases</x:v>
      </x:c>
      <x:c r="C16" s="36" t="str">
        <x:v>Latência / Download / Upload</x:v>
      </x:c>
      <x:c r="D16" s="36" t="str">
        <x:v>#2563EB / #146C2E / #8A5000</x:v>
      </x:c>
      <x:c r="E16" s="36" t="str">
        <x:v>#AAC7FF / #83DA99 / #FFB870</x:v>
      </x:c>
      <x:c r="F16" s="36" t="str">
        <x:v>Captura durante speedtest</x:v>
      </x:c>
      <x:c r="G16" s="36" t="str">
        <x:v>Velocidade</x:v>
      </x:c>
      <x:c r="H16" s="36" t="str">
        <x:v>P0</x:v>
      </x:c>
      <x:c r="I16" s="36" t="str">
        <x:v>Não iniciado</x:v>
      </x:c>
      <x:c r="J16" s="36" t="str"/>
    </x:row>
    <x:row r="17" ht="52" customHeight="1">
      <x:c r="A17" s="36" t="str">
        <x:v>DS-TYP-01</x:v>
      </x:c>
      <x:c r="B17" s="36" t="str">
        <x:v>Tipografia</x:v>
      </x:c>
      <x:c r="C17" s="36" t="str">
        <x:v>Display small</x:v>
      </x:c>
      <x:c r="D17" s="36" t="str">
        <x:v>34/40, 700</x:v>
      </x:c>
      <x:c r="E17" s="36" t="str">
        <x:v>34/40, 700</x:v>
      </x:c>
      <x:c r="F17" s="36" t="str">
        <x:v>Comparar números hero</x:v>
      </x:c>
      <x:c r="G17" s="36" t="str">
        <x:v>Resultado</x:v>
      </x:c>
      <x:c r="H17" s="36" t="str">
        <x:v>P1</x:v>
      </x:c>
      <x:c r="I17" s="36" t="str">
        <x:v>Não iniciado</x:v>
      </x:c>
      <x:c r="J17" s="36" t="str"/>
    </x:row>
    <x:row r="18" ht="52" customHeight="1">
      <x:c r="A18" s="36" t="str">
        <x:v>DS-TYP-02</x:v>
      </x:c>
      <x:c r="B18" s="36" t="str">
        <x:v>Tipografia</x:v>
      </x:c>
      <x:c r="C18" s="36" t="str">
        <x:v>Headline large</x:v>
      </x:c>
      <x:c r="D18" s="36" t="str">
        <x:v>26/32, 700</x:v>
      </x:c>
      <x:c r="E18" s="36" t="str">
        <x:v>26/32, 700</x:v>
      </x:c>
      <x:c r="F18" s="36" t="str">
        <x:v>Títulos principais</x:v>
      </x:c>
      <x:c r="G18" s="36" t="str">
        <x:v>Telas full-screen</x:v>
      </x:c>
      <x:c r="H18" s="36" t="str">
        <x:v>P1</x:v>
      </x:c>
      <x:c r="I18" s="36" t="str">
        <x:v>Não iniciado</x:v>
      </x:c>
      <x:c r="J18" s="36" t="str"/>
    </x:row>
    <x:row r="19" ht="52" customHeight="1">
      <x:c r="A19" s="36" t="str">
        <x:v>DS-TYP-03</x:v>
      </x:c>
      <x:c r="B19" s="36" t="str">
        <x:v>Tipografia</x:v>
      </x:c>
      <x:c r="C19" s="36" t="str">
        <x:v>Title large</x:v>
      </x:c>
      <x:c r="D19" s="36" t="str">
        <x:v>20/26, 600</x:v>
      </x:c>
      <x:c r="E19" s="36" t="str">
        <x:v>20/26, 600</x:v>
      </x:c>
      <x:c r="F19" s="36" t="str">
        <x:v>Títulos de card/tela</x:v>
      </x:c>
      <x:c r="G19" s="36" t="str">
        <x:v>Todas</x:v>
      </x:c>
      <x:c r="H19" s="36" t="str">
        <x:v>P1</x:v>
      </x:c>
      <x:c r="I19" s="36" t="str">
        <x:v>Não iniciado</x:v>
      </x:c>
      <x:c r="J19" s="36" t="str"/>
    </x:row>
    <x:row r="20" ht="52" customHeight="1">
      <x:c r="A20" s="36" t="str">
        <x:v>DS-TYP-04</x:v>
      </x:c>
      <x:c r="B20" s="36" t="str">
        <x:v>Tipografia</x:v>
      </x:c>
      <x:c r="C20" s="36" t="str">
        <x:v>Body large</x:v>
      </x:c>
      <x:c r="D20" s="36" t="str">
        <x:v>16/24, 400</x:v>
      </x:c>
      <x:c r="E20" s="36" t="str">
        <x:v>16/24, 400</x:v>
      </x:c>
      <x:c r="F20" s="36" t="str">
        <x:v>Texto principal</x:v>
      </x:c>
      <x:c r="G20" s="36" t="str">
        <x:v>Todas</x:v>
      </x:c>
      <x:c r="H20" s="36" t="str">
        <x:v>P1</x:v>
      </x:c>
      <x:c r="I20" s="36" t="str">
        <x:v>Não iniciado</x:v>
      </x:c>
      <x:c r="J20" s="36" t="str"/>
    </x:row>
    <x:row r="21" ht="52" customHeight="1">
      <x:c r="A21" s="36" t="str">
        <x:v>DS-TYP-05</x:v>
      </x:c>
      <x:c r="B21" s="36" t="str">
        <x:v>Tipografia</x:v>
      </x:c>
      <x:c r="C21" s="36" t="str">
        <x:v>Label small</x:v>
      </x:c>
      <x:c r="D21" s="36" t="str">
        <x:v>11/16, 500</x:v>
      </x:c>
      <x:c r="E21" s="36" t="str">
        <x:v>11/16, 500</x:v>
      </x:c>
      <x:c r="F21" s="36" t="str">
        <x:v>Overlines/labels</x:v>
      </x:c>
      <x:c r="G21" s="36" t="str">
        <x:v>Todas</x:v>
      </x:c>
      <x:c r="H21" s="36" t="str">
        <x:v>P2</x:v>
      </x:c>
      <x:c r="I21" s="36" t="str">
        <x:v>Não iniciado</x:v>
      </x:c>
      <x:c r="J21" s="36" t="str"/>
    </x:row>
    <x:row r="22" ht="52" customHeight="1">
      <x:c r="A22" s="36" t="str">
        <x:v>DS-SPC-01</x:v>
      </x:c>
      <x:c r="B22" s="36" t="str">
        <x:v>Espaçamento</x:v>
      </x:c>
      <x:c r="C22" s="36" t="str">
        <x:v>Escala</x:v>
      </x:c>
      <x:c r="D22" s="36" t="str">
        <x:v>4,8,12,16,20,24,32,40 dp</x:v>
      </x:c>
      <x:c r="E22" s="36" t="str">
        <x:v>igual</x:v>
      </x:c>
      <x:c r="F22" s="36" t="str">
        <x:v>Medir gaps/paddings</x:v>
      </x:c>
      <x:c r="G22" s="36" t="str">
        <x:v>Todas</x:v>
      </x:c>
      <x:c r="H22" s="36" t="str">
        <x:v>P1</x:v>
      </x:c>
      <x:c r="I22" s="36" t="str">
        <x:v>Não iniciado</x:v>
      </x:c>
      <x:c r="J22" s="36" t="str"/>
    </x:row>
    <x:row r="23" ht="52" customHeight="1">
      <x:c r="A23" s="36" t="str">
        <x:v>DS-CMP-01</x:v>
      </x:c>
      <x:c r="B23" s="36" t="str">
        <x:v>Componentes</x:v>
      </x:c>
      <x:c r="C23" s="36" t="str">
        <x:v>Cards</x:v>
      </x:c>
      <x:c r="D23" s="36" t="str">
        <x:v>Raio 16dp, borda hairline, sem sombra</x:v>
      </x:c>
      <x:c r="E23" s="36" t="str">
        <x:v>igual</x:v>
      </x:c>
      <x:c r="F23" s="36" t="str">
        <x:v>Inspecionar borda/elevação</x:v>
      </x:c>
      <x:c r="G23" s="36" t="str">
        <x:v>Todas</x:v>
      </x:c>
      <x:c r="H23" s="36" t="str">
        <x:v>P0</x:v>
      </x:c>
      <x:c r="I23" s="36" t="str">
        <x:v>Não iniciado</x:v>
      </x:c>
      <x:c r="J23" s="36" t="str"/>
    </x:row>
    <x:row r="24" ht="52" customHeight="1">
      <x:c r="A24" s="36" t="str">
        <x:v>DS-CMP-02</x:v>
      </x:c>
      <x:c r="B24" s="36" t="str">
        <x:v>Componentes</x:v>
      </x:c>
      <x:c r="C24" s="36" t="str">
        <x:v>Ícones</x:v>
      </x:c>
      <x:c r="D24" s="36" t="str">
        <x:v>Material Symbols/Icons outlined, 24dp padrão</x:v>
      </x:c>
      <x:c r="E24" s="36" t="str">
        <x:v>igual</x:v>
      </x:c>
      <x:c r="F24" s="36" t="str">
        <x:v>Inspecionar e Accessibility Scanner</x:v>
      </x:c>
      <x:c r="G24" s="36" t="str">
        <x:v>Todas</x:v>
      </x:c>
      <x:c r="H24" s="36" t="str">
        <x:v>P1</x:v>
      </x:c>
      <x:c r="I24" s="36" t="str">
        <x:v>Não iniciado</x:v>
      </x:c>
      <x:c r="J24" s="36" t="str"/>
    </x:row>
    <x:row r="25" ht="52" customHeight="1">
      <x:c r="A25" s="36" t="str">
        <x:v>DS-CMP-03</x:v>
      </x:c>
      <x:c r="B25" s="36" t="str">
        <x:v>Componentes</x:v>
      </x:c>
      <x:c r="C25" s="36" t="str">
        <x:v>Bottom nav</x:v>
      </x:c>
      <x:c r="D25" s="36" t="str">
        <x:v>5 destinos, indicador primary, insets</x:v>
      </x:c>
      <x:c r="E25" s="36" t="str">
        <x:v>igual</x:v>
      </x:c>
      <x:c r="F25" s="36" t="str">
        <x:v>Alternar tabs</x:v>
      </x:c>
      <x:c r="G25" s="36" t="str">
        <x:v>Shell</x:v>
      </x:c>
      <x:c r="H25" s="36" t="str">
        <x:v>P0</x:v>
      </x:c>
      <x:c r="I25" s="36" t="str">
        <x:v>Não iniciado</x:v>
      </x:c>
      <x:c r="J25" s="36" t="str"/>
    </x:row>
    <x:row r="26" ht="52" customHeight="1">
      <x:c r="A26" s="36" t="str">
        <x:v>DS-CMP-04</x:v>
      </x:c>
      <x:c r="B26" s="36" t="str">
        <x:v>Componentes</x:v>
      </x:c>
      <x:c r="C26" s="36" t="str">
        <x:v>Topbar</x:v>
      </x:c>
      <x:c r="D26" s="36" t="str">
        <x:v>Título/leading/trailing, safe area</x:v>
      </x:c>
      <x:c r="E26" s="36" t="str">
        <x:v>igual</x:v>
      </x:c>
      <x:c r="F26" s="36" t="str">
        <x:v>Captura Pixel 10</x:v>
      </x:c>
      <x:c r="G26" s="36" t="str">
        <x:v>Overlays</x:v>
      </x:c>
      <x:c r="H26" s="36" t="str">
        <x:v>P0</x:v>
      </x:c>
      <x:c r="I26" s="36" t="str">
        <x:v>Não iniciado</x:v>
      </x:c>
      <x:c r="J26" s="36" t="str"/>
    </x:row>
    <x:row r="27" ht="52" customHeight="1">
      <x:c r="A27" s="36" t="str">
        <x:v>DS-CMP-05</x:v>
      </x:c>
      <x:c r="B27" s="36" t="str">
        <x:v>Componentes</x:v>
      </x:c>
      <x:c r="C27" s="36" t="str">
        <x:v>Sheets</x:v>
      </x:c>
      <x:c r="D27" s="36" t="str">
        <x:v>Scrim, cantos superiores, back/scrim, IME</x:v>
      </x:c>
      <x:c r="E27" s="36" t="str">
        <x:v>igual</x:v>
      </x:c>
      <x:c r="F27" s="36" t="str">
        <x:v>Abrir forms e detalhes</x:v>
      </x:c>
      <x:c r="G27" s="36" t="str">
        <x:v>Gateway, Perfil</x:v>
      </x:c>
      <x:c r="H27" s="36" t="str">
        <x:v>P1</x:v>
      </x:c>
      <x:c r="I27" s="36" t="str">
        <x:v>Não iniciado</x:v>
      </x:c>
      <x:c r="J27" s="36" t="str"/>
    </x:row>
    <x:row r="28" ht="52" customHeight="1">
      <x:c r="A28" s="36" t="str">
        <x:v>DS-COPY-01</x:v>
      </x:c>
      <x:c r="B28" s="36" t="str">
        <x:v>Copy</x:v>
      </x:c>
      <x:c r="C28" s="36" t="str">
        <x:v>Português BR; sentence case; overline uppercase; sem emoji</x:v>
      </x:c>
      <x:c r="D28" s="36" t="str">
        <x:v>igual</x:v>
      </x:c>
      <x:c r="E28" s="36" t="str">
        <x:v>Busca visual/strings</x:v>
      </x:c>
      <x:c r="F28" s="36" t="str">
        <x:v>Todas</x:v>
      </x:c>
      <x:c r="G28" s="36" t="str">
        <x:v>P1</x:v>
      </x:c>
      <x:c r="H28" s="36" t="str">
        <x:v>Não iniciado</x:v>
      </x:c>
      <x:c r="I28" s="36" t="str"/>
      <x:c r="J28" s="36"/>
    </x:row>
    <x:row r="29" ht="52" customHeight="1">
      <x:c r="A29" s="36" t="str">
        <x:v>DS-A11Y-01</x:v>
      </x:c>
      <x:c r="B29" s="36" t="str">
        <x:v>Acessibilidade</x:v>
      </x:c>
      <x:c r="C29" s="36" t="str">
        <x:v>Alvo &gt;=48dp e foco lógico</x:v>
      </x:c>
      <x:c r="D29" s="36" t="str">
        <x:v>igual</x:v>
      </x:c>
      <x:c r="E29" s="36" t="str">
        <x:v>Scanner/TalkBack</x:v>
      </x:c>
      <x:c r="F29" s="36" t="str">
        <x:v>Fluxos P0</x:v>
      </x:c>
      <x:c r="G29" s="36" t="str">
        <x:v>P0</x:v>
      </x:c>
      <x:c r="H29" s="36" t="str">
        <x:v>Não iniciado</x:v>
      </x:c>
      <x:c r="I29" s="36" t="str"/>
      <x:c r="J29" s="36"/>
    </x:row>
    <x:row r="30" ht="52" customHeight="1">
      <x:c r="A30" s="36" t="str">
        <x:v>DS-A11Y-02</x:v>
      </x:c>
      <x:c r="B30" s="36" t="str">
        <x:v>Acessibilidade</x:v>
      </x:c>
      <x:c r="C30" s="36" t="str">
        <x:v>Estado não depende só de cor</x:v>
      </x:c>
      <x:c r="D30" s="36" t="str">
        <x:v>igual</x:v>
      </x:c>
      <x:c r="E30" s="36" t="str">
        <x:v>Inspecionar status/gráficos</x:v>
      </x:c>
      <x:c r="F30" s="36" t="str">
        <x:v>Resultado, Histórico</x:v>
      </x:c>
      <x:c r="G30" s="36" t="str">
        <x:v>P0</x:v>
      </x:c>
      <x:c r="H30" s="36" t="str">
        <x:v>Não iniciado</x:v>
      </x:c>
      <x:c r="I30" s="36" t="str"/>
      <x:c r="J30" s="36"/>
    </x:row>
    <x:row r="31" ht="52" customHeight="1">
      <x:c r="A31" s="36" t="str">
        <x:v>DS-A11Y-03</x:v>
      </x:c>
      <x:c r="B31" s="36" t="str">
        <x:v>Acessibilidade</x:v>
      </x:c>
      <x:c r="C31" s="36" t="str">
        <x:v>Fonte 1.3/1.5 sem corte</x:v>
      </x:c>
      <x:c r="D31" s="36" t="str">
        <x:v>igual</x:v>
      </x:c>
      <x:c r="E31" s="36" t="str">
        <x:v>Alterar font_scale</x:v>
      </x:c>
      <x:c r="F31" s="36" t="str">
        <x:v>Fluxos P0</x:v>
      </x:c>
      <x:c r="G31" s="36" t="str">
        <x:v>P0</x:v>
      </x:c>
      <x:c r="H31" s="36" t="str">
        <x:v>Não iniciado</x:v>
      </x:c>
      <x:c r="I31" s="36" t="str"/>
      <x:c r="J31" s="36"/>
    </x:row>
  </x:sheetData>
  <x:mergeCells>
    <x:mergeCell ref="A1:J1"/>
    <x:mergeCell ref="A2:J2"/>
  </x:mergeCells>
  <x:conditionalFormatting sqref="I5:I31">
    <x:cfRule type="expression" dxfId="56" priority="1">
      <x:formula>I5="Passou"</x:formula>
    </x:cfRule>
    <x:cfRule type="expression" dxfId="57" priority="2">
      <x:formula>I5="Falhou"</x:formula>
    </x:cfRule>
  </x:conditionalFormatting>
  <x:dataValidations count="2">
    <x:dataValidation type="list" sqref="H5:H31">
      <x:formula1>"P0,P1,P2,P3"</x:formula1>
    </x:dataValidation>
    <x:dataValidation type="list" sqref="I5:I31">
      <x:formula1>"Não iniciado,Em execução,Passou,Falhou,Bloqueado,N/A"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e08b14de0a4c7c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0" hidden="0" customWidth="1"/>
    <x:col min="3" max="3" width="22" hidden="0" customWidth="1"/>
    <x:col min="4" max="4" width="42" hidden="0" customWidth="1"/>
    <x:col min="5" max="5" width="11" hidden="0" customWidth="1"/>
    <x:col min="6" max="6" width="18" hidden="0" customWidth="1"/>
    <x:col min="7" max="7" width="40" hidden="0" customWidth="1"/>
    <x:col min="8" max="8" width="40" hidden="0" customWidth="1"/>
    <x:col min="9" max="9" width="20" hidden="0" customWidth="1"/>
    <x:col min="10" max="10" width="30" hidden="0" customWidth="1"/>
    <x:col min="11" max="11" width="35" hidden="0" customWidth="1"/>
    <x:col min="12" max="12" width="18" hidden="0" customWidth="1"/>
    <x:col min="13" max="13" width="35" hidden="0" customWidth="1"/>
    <x:col min="14" max="14" width="20" hidden="0" customWidth="1"/>
  </x:cols>
  <x:sheetData>
    <x:row r="1">
      <x:c r="A1" s="5" t="str">
        <x:v>Fila de bugs e template de issue GitHub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3" t="str">
        <x:v>Preencha somente após reteste. Pesquise duplicatas no repositório. Uma issue por causa raiz; vários IDs podem ser vinculados à mesma issue.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>
      <x:c r="A4" s="28" t="str">
        <x:v>Ordem</x:v>
      </x:c>
      <x:c r="B4" s="28" t="str">
        <x:v>IDs de teste</x:v>
      </x:c>
      <x:c r="C4" s="28" t="str">
        <x:v>Tela</x:v>
      </x:c>
      <x:c r="D4" s="28" t="str">
        <x:v>Resumo do defeito</x:v>
      </x:c>
      <x:c r="E4" s="28" t="str">
        <x:v>Severidade</x:v>
      </x:c>
      <x:c r="F4" s="28" t="str">
        <x:v>Reprodução</x:v>
      </x:c>
      <x:c r="G4" s="28" t="str">
        <x:v>Esperado</x:v>
      </x:c>
      <x:c r="H4" s="28" t="str">
        <x:v>Atual</x:v>
      </x:c>
      <x:c r="I4" s="28" t="str">
        <x:v>Commit/APK</x:v>
      </x:c>
      <x:c r="J4" s="28" t="str">
        <x:v>Ambiente</x:v>
      </x:c>
      <x:c r="K4" s="28" t="str">
        <x:v>Evidências</x:v>
      </x:c>
      <x:c r="L4" s="28" t="str">
        <x:v>Issue existente?</x:v>
      </x:c>
      <x:c r="M4" s="28" t="str">
        <x:v>URL GitHub</x:v>
      </x:c>
      <x:c r="N4" s="28" t="str">
        <x:v>Status triagem</x:v>
      </x:c>
    </x:row>
    <x:row r="5" ht="64" customHeight="1">
      <x:c r="A5" s="36" t="n">
        <x:v>1</x:v>
      </x:c>
      <x:c r="B5" s="36" t="str"/>
      <x:c r="C5" s="36" t="str"/>
      <x:c r="D5" s="36" t="str"/>
      <x:c r="E5" s="36" t="str"/>
      <x:c r="F5" s="36" t="str"/>
      <x:c r="G5" s="36" t="str"/>
      <x:c r="H5" s="36" t="str"/>
      <x:c r="I5" s="36" t="str"/>
      <x:c r="J5" s="36" t="str"/>
      <x:c r="K5" s="36" t="str"/>
      <x:c r="L5" s="36" t="str"/>
      <x:c r="M5" s="36" t="str"/>
      <x:c r="N5" s="36" t="str">
        <x:v>Não triado</x:v>
      </x:c>
    </x:row>
    <x:row r="6" ht="64" customHeight="1">
      <x:c r="A6" s="36" t="n">
        <x:v>2</x:v>
      </x:c>
      <x:c r="B6" s="36" t="str"/>
      <x:c r="C6" s="36" t="str"/>
      <x:c r="D6" s="36" t="str"/>
      <x:c r="E6" s="36" t="str"/>
      <x:c r="F6" s="36" t="str"/>
      <x:c r="G6" s="36" t="str"/>
      <x:c r="H6" s="36" t="str"/>
      <x:c r="I6" s="36" t="str"/>
      <x:c r="J6" s="36" t="str"/>
      <x:c r="K6" s="36" t="str"/>
      <x:c r="L6" s="36" t="str"/>
      <x:c r="M6" s="36" t="str"/>
      <x:c r="N6" s="36" t="str">
        <x:v>Não triado</x:v>
      </x:c>
    </x:row>
    <x:row r="7" ht="64" customHeight="1">
      <x:c r="A7" s="36" t="n">
        <x:v>3</x:v>
      </x:c>
      <x:c r="B7" s="36" t="str"/>
      <x:c r="C7" s="36" t="str"/>
      <x:c r="D7" s="36" t="str"/>
      <x:c r="E7" s="36" t="str"/>
      <x:c r="F7" s="36" t="str"/>
      <x:c r="G7" s="36" t="str"/>
      <x:c r="H7" s="36" t="str"/>
      <x:c r="I7" s="36" t="str"/>
      <x:c r="J7" s="36" t="str"/>
      <x:c r="K7" s="36" t="str"/>
      <x:c r="L7" s="36" t="str"/>
      <x:c r="M7" s="36" t="str"/>
      <x:c r="N7" s="36" t="str">
        <x:v>Não triado</x:v>
      </x:c>
    </x:row>
    <x:row r="8" ht="64" customHeight="1">
      <x:c r="A8" s="36" t="n">
        <x:v>4</x:v>
      </x:c>
      <x:c r="B8" s="36" t="str"/>
      <x:c r="C8" s="36" t="str"/>
      <x:c r="D8" s="36" t="str"/>
      <x:c r="E8" s="36" t="str"/>
      <x:c r="F8" s="36" t="str"/>
      <x:c r="G8" s="36" t="str"/>
      <x:c r="H8" s="36" t="str"/>
      <x:c r="I8" s="36" t="str"/>
      <x:c r="J8" s="36" t="str"/>
      <x:c r="K8" s="36" t="str"/>
      <x:c r="L8" s="36" t="str"/>
      <x:c r="M8" s="36" t="str"/>
      <x:c r="N8" s="36" t="str">
        <x:v>Não triado</x:v>
      </x:c>
    </x:row>
    <x:row r="9" ht="64" customHeight="1">
      <x:c r="A9" s="36" t="n">
        <x:v>5</x:v>
      </x:c>
      <x:c r="B9" s="36" t="str"/>
      <x:c r="C9" s="36" t="str"/>
      <x:c r="D9" s="36" t="str"/>
      <x:c r="E9" s="36" t="str"/>
      <x:c r="F9" s="36" t="str"/>
      <x:c r="G9" s="36" t="str"/>
      <x:c r="H9" s="36" t="str"/>
      <x:c r="I9" s="36" t="str"/>
      <x:c r="J9" s="36" t="str"/>
      <x:c r="K9" s="36" t="str"/>
      <x:c r="L9" s="36" t="str"/>
      <x:c r="M9" s="36" t="str"/>
      <x:c r="N9" s="36" t="str">
        <x:v>Não triado</x:v>
      </x:c>
    </x:row>
    <x:row r="10" ht="64" customHeight="1">
      <x:c r="A10" s="36" t="n">
        <x:v>6</x:v>
      </x:c>
      <x:c r="B10" s="36" t="str"/>
      <x:c r="C10" s="36" t="str"/>
      <x:c r="D10" s="36" t="str"/>
      <x:c r="E10" s="36" t="str"/>
      <x:c r="F10" s="36" t="str"/>
      <x:c r="G10" s="36" t="str"/>
      <x:c r="H10" s="36" t="str"/>
      <x:c r="I10" s="36" t="str"/>
      <x:c r="J10" s="36" t="str"/>
      <x:c r="K10" s="36" t="str"/>
      <x:c r="L10" s="36" t="str"/>
      <x:c r="M10" s="36" t="str"/>
      <x:c r="N10" s="36" t="str">
        <x:v>Não triado</x:v>
      </x:c>
    </x:row>
    <x:row r="11" ht="64" customHeight="1">
      <x:c r="A11" s="36" t="n">
        <x:v>7</x:v>
      </x:c>
      <x:c r="B11" s="36" t="str"/>
      <x:c r="C11" s="36" t="str"/>
      <x:c r="D11" s="36" t="str"/>
      <x:c r="E11" s="36" t="str"/>
      <x:c r="F11" s="36" t="str"/>
      <x:c r="G11" s="36" t="str"/>
      <x:c r="H11" s="36" t="str"/>
      <x:c r="I11" s="36" t="str"/>
      <x:c r="J11" s="36" t="str"/>
      <x:c r="K11" s="36" t="str"/>
      <x:c r="L11" s="36" t="str"/>
      <x:c r="M11" s="36" t="str"/>
      <x:c r="N11" s="36" t="str">
        <x:v>Não triado</x:v>
      </x:c>
    </x:row>
    <x:row r="12" ht="64" customHeight="1">
      <x:c r="A12" s="36" t="n">
        <x:v>8</x:v>
      </x:c>
      <x:c r="B12" s="36" t="str"/>
      <x:c r="C12" s="36" t="str"/>
      <x:c r="D12" s="36" t="str"/>
      <x:c r="E12" s="36" t="str"/>
      <x:c r="F12" s="36" t="str"/>
      <x:c r="G12" s="36" t="str"/>
      <x:c r="H12" s="36" t="str"/>
      <x:c r="I12" s="36" t="str"/>
      <x:c r="J12" s="36" t="str"/>
      <x:c r="K12" s="36" t="str"/>
      <x:c r="L12" s="36" t="str"/>
      <x:c r="M12" s="36" t="str"/>
      <x:c r="N12" s="36" t="str">
        <x:v>Não triado</x:v>
      </x:c>
    </x:row>
    <x:row r="13" ht="64" customHeight="1">
      <x:c r="A13" s="36" t="n">
        <x:v>9</x:v>
      </x:c>
      <x:c r="B13" s="36" t="str"/>
      <x:c r="C13" s="36" t="str"/>
      <x:c r="D13" s="36" t="str"/>
      <x:c r="E13" s="36" t="str"/>
      <x:c r="F13" s="36" t="str"/>
      <x:c r="G13" s="36" t="str"/>
      <x:c r="H13" s="36" t="str"/>
      <x:c r="I13" s="36" t="str"/>
      <x:c r="J13" s="36" t="str"/>
      <x:c r="K13" s="36" t="str"/>
      <x:c r="L13" s="36" t="str"/>
      <x:c r="M13" s="36" t="str"/>
      <x:c r="N13" s="36" t="str">
        <x:v>Não triado</x:v>
      </x:c>
    </x:row>
    <x:row r="14" ht="64" customHeight="1">
      <x:c r="A14" s="36" t="n">
        <x:v>10</x:v>
      </x:c>
      <x:c r="B14" s="36" t="str"/>
      <x:c r="C14" s="36" t="str"/>
      <x:c r="D14" s="36" t="str"/>
      <x:c r="E14" s="36" t="str"/>
      <x:c r="F14" s="36" t="str"/>
      <x:c r="G14" s="36" t="str"/>
      <x:c r="H14" s="36" t="str"/>
      <x:c r="I14" s="36" t="str"/>
      <x:c r="J14" s="36" t="str"/>
      <x:c r="K14" s="36" t="str"/>
      <x:c r="L14" s="36" t="str"/>
      <x:c r="M14" s="36" t="str"/>
      <x:c r="N14" s="36" t="str">
        <x:v>Não triado</x:v>
      </x:c>
    </x:row>
    <x:row r="15" ht="64" customHeight="1">
      <x:c r="A15" s="36" t="n">
        <x:v>11</x:v>
      </x:c>
      <x:c r="B15" s="36" t="str"/>
      <x:c r="C15" s="36" t="str"/>
      <x:c r="D15" s="36" t="str"/>
      <x:c r="E15" s="36" t="str"/>
      <x:c r="F15" s="36" t="str"/>
      <x:c r="G15" s="36" t="str"/>
      <x:c r="H15" s="36" t="str"/>
      <x:c r="I15" s="36" t="str"/>
      <x:c r="J15" s="36" t="str"/>
      <x:c r="K15" s="36" t="str"/>
      <x:c r="L15" s="36" t="str"/>
      <x:c r="M15" s="36" t="str"/>
      <x:c r="N15" s="36" t="str">
        <x:v>Não triado</x:v>
      </x:c>
    </x:row>
    <x:row r="16" ht="64" customHeight="1">
      <x:c r="A16" s="36" t="n">
        <x:v>12</x:v>
      </x:c>
      <x:c r="B16" s="36" t="str"/>
      <x:c r="C16" s="36" t="str"/>
      <x:c r="D16" s="36" t="str"/>
      <x:c r="E16" s="36" t="str"/>
      <x:c r="F16" s="36" t="str"/>
      <x:c r="G16" s="36" t="str"/>
      <x:c r="H16" s="36" t="str"/>
      <x:c r="I16" s="36" t="str"/>
      <x:c r="J16" s="36" t="str"/>
      <x:c r="K16" s="36" t="str"/>
      <x:c r="L16" s="36" t="str"/>
      <x:c r="M16" s="36" t="str"/>
      <x:c r="N16" s="36" t="str">
        <x:v>Não triado</x:v>
      </x:c>
    </x:row>
    <x:row r="17" ht="64" customHeight="1">
      <x:c r="A17" s="36" t="n">
        <x:v>13</x:v>
      </x:c>
      <x:c r="B17" s="36" t="str"/>
      <x:c r="C17" s="36" t="str"/>
      <x:c r="D17" s="36" t="str"/>
      <x:c r="E17" s="36" t="str"/>
      <x:c r="F17" s="36" t="str"/>
      <x:c r="G17" s="36" t="str"/>
      <x:c r="H17" s="36" t="str"/>
      <x:c r="I17" s="36" t="str"/>
      <x:c r="J17" s="36" t="str"/>
      <x:c r="K17" s="36" t="str"/>
      <x:c r="L17" s="36" t="str"/>
      <x:c r="M17" s="36" t="str"/>
      <x:c r="N17" s="36" t="str">
        <x:v>Não triado</x:v>
      </x:c>
    </x:row>
    <x:row r="18" ht="64" customHeight="1">
      <x:c r="A18" s="36" t="n">
        <x:v>14</x:v>
      </x:c>
      <x:c r="B18" s="36" t="str"/>
      <x:c r="C18" s="36" t="str"/>
      <x:c r="D18" s="36" t="str"/>
      <x:c r="E18" s="36" t="str"/>
      <x:c r="F18" s="36" t="str"/>
      <x:c r="G18" s="36" t="str"/>
      <x:c r="H18" s="36" t="str"/>
      <x:c r="I18" s="36" t="str"/>
      <x:c r="J18" s="36" t="str"/>
      <x:c r="K18" s="36" t="str"/>
      <x:c r="L18" s="36" t="str"/>
      <x:c r="M18" s="36" t="str"/>
      <x:c r="N18" s="36" t="str">
        <x:v>Não triado</x:v>
      </x:c>
    </x:row>
    <x:row r="19" ht="64" customHeight="1">
      <x:c r="A19" s="36" t="n">
        <x:v>15</x:v>
      </x:c>
      <x:c r="B19" s="36" t="str"/>
      <x:c r="C19" s="36" t="str"/>
      <x:c r="D19" s="36" t="str"/>
      <x:c r="E19" s="36" t="str"/>
      <x:c r="F19" s="36" t="str"/>
      <x:c r="G19" s="36" t="str"/>
      <x:c r="H19" s="36" t="str"/>
      <x:c r="I19" s="36" t="str"/>
      <x:c r="J19" s="36" t="str"/>
      <x:c r="K19" s="36" t="str"/>
      <x:c r="L19" s="36" t="str"/>
      <x:c r="M19" s="36" t="str"/>
      <x:c r="N19" s="36" t="str">
        <x:v>Não triado</x:v>
      </x:c>
    </x:row>
    <x:row r="20" ht="64" customHeight="1">
      <x:c r="A20" s="36" t="n">
        <x:v>16</x:v>
      </x:c>
      <x:c r="B20" s="36" t="str"/>
      <x:c r="C20" s="36" t="str"/>
      <x:c r="D20" s="36" t="str"/>
      <x:c r="E20" s="36" t="str"/>
      <x:c r="F20" s="36" t="str"/>
      <x:c r="G20" s="36" t="str"/>
      <x:c r="H20" s="36" t="str"/>
      <x:c r="I20" s="36" t="str"/>
      <x:c r="J20" s="36" t="str"/>
      <x:c r="K20" s="36" t="str"/>
      <x:c r="L20" s="36" t="str"/>
      <x:c r="M20" s="36" t="str"/>
      <x:c r="N20" s="36" t="str">
        <x:v>Não triado</x:v>
      </x:c>
    </x:row>
    <x:row r="21" ht="64" customHeight="1">
      <x:c r="A21" s="36" t="n">
        <x:v>17</x:v>
      </x:c>
      <x:c r="B21" s="36" t="str"/>
      <x:c r="C21" s="36" t="str"/>
      <x:c r="D21" s="36" t="str"/>
      <x:c r="E21" s="36" t="str"/>
      <x:c r="F21" s="36" t="str"/>
      <x:c r="G21" s="36" t="str"/>
      <x:c r="H21" s="36" t="str"/>
      <x:c r="I21" s="36" t="str"/>
      <x:c r="J21" s="36" t="str"/>
      <x:c r="K21" s="36" t="str"/>
      <x:c r="L21" s="36" t="str"/>
      <x:c r="M21" s="36" t="str"/>
      <x:c r="N21" s="36" t="str">
        <x:v>Não triado</x:v>
      </x:c>
    </x:row>
    <x:row r="22" ht="64" customHeight="1">
      <x:c r="A22" s="36" t="n">
        <x:v>18</x:v>
      </x:c>
      <x:c r="B22" s="36" t="str"/>
      <x:c r="C22" s="36" t="str"/>
      <x:c r="D22" s="36" t="str"/>
      <x:c r="E22" s="36" t="str"/>
      <x:c r="F22" s="36" t="str"/>
      <x:c r="G22" s="36" t="str"/>
      <x:c r="H22" s="36" t="str"/>
      <x:c r="I22" s="36" t="str"/>
      <x:c r="J22" s="36" t="str"/>
      <x:c r="K22" s="36" t="str"/>
      <x:c r="L22" s="36" t="str"/>
      <x:c r="M22" s="36" t="str"/>
      <x:c r="N22" s="36" t="str">
        <x:v>Não triado</x:v>
      </x:c>
    </x:row>
    <x:row r="23" ht="64" customHeight="1">
      <x:c r="A23" s="36" t="n">
        <x:v>19</x:v>
      </x:c>
      <x:c r="B23" s="36" t="str"/>
      <x:c r="C23" s="36" t="str"/>
      <x:c r="D23" s="36" t="str"/>
      <x:c r="E23" s="36" t="str"/>
      <x:c r="F23" s="36" t="str"/>
      <x:c r="G23" s="36" t="str"/>
      <x:c r="H23" s="36" t="str"/>
      <x:c r="I23" s="36" t="str"/>
      <x:c r="J23" s="36" t="str"/>
      <x:c r="K23" s="36" t="str"/>
      <x:c r="L23" s="36" t="str"/>
      <x:c r="M23" s="36" t="str"/>
      <x:c r="N23" s="36" t="str">
        <x:v>Não triado</x:v>
      </x:c>
    </x:row>
    <x:row r="24" ht="64" customHeight="1">
      <x:c r="A24" s="36" t="n">
        <x:v>20</x:v>
      </x:c>
      <x:c r="B24" s="36" t="str"/>
      <x:c r="C24" s="36" t="str"/>
      <x:c r="D24" s="36" t="str"/>
      <x:c r="E24" s="36" t="str"/>
      <x:c r="F24" s="36" t="str"/>
      <x:c r="G24" s="36" t="str"/>
      <x:c r="H24" s="36" t="str"/>
      <x:c r="I24" s="36" t="str"/>
      <x:c r="J24" s="36" t="str"/>
      <x:c r="K24" s="36" t="str"/>
      <x:c r="L24" s="36" t="str"/>
      <x:c r="M24" s="36" t="str"/>
      <x:c r="N24" s="36" t="str">
        <x:v>Não triado</x:v>
      </x:c>
    </x:row>
    <x:row r="25" ht="64" customHeight="1">
      <x:c r="A25" s="36" t="n">
        <x:v>21</x:v>
      </x:c>
      <x:c r="B25" s="36" t="str"/>
      <x:c r="C25" s="36" t="str"/>
      <x:c r="D25" s="36" t="str"/>
      <x:c r="E25" s="36" t="str"/>
      <x:c r="F25" s="36" t="str"/>
      <x:c r="G25" s="36" t="str"/>
      <x:c r="H25" s="36" t="str"/>
      <x:c r="I25" s="36" t="str"/>
      <x:c r="J25" s="36" t="str"/>
      <x:c r="K25" s="36" t="str"/>
      <x:c r="L25" s="36" t="str"/>
      <x:c r="M25" s="36" t="str"/>
      <x:c r="N25" s="36" t="str">
        <x:v>Não triado</x:v>
      </x:c>
    </x:row>
    <x:row r="26" ht="64" customHeight="1">
      <x:c r="A26" s="36" t="n">
        <x:v>22</x:v>
      </x:c>
      <x:c r="B26" s="36" t="str"/>
      <x:c r="C26" s="36" t="str"/>
      <x:c r="D26" s="36" t="str"/>
      <x:c r="E26" s="36" t="str"/>
      <x:c r="F26" s="36" t="str"/>
      <x:c r="G26" s="36" t="str"/>
      <x:c r="H26" s="36" t="str"/>
      <x:c r="I26" s="36" t="str"/>
      <x:c r="J26" s="36" t="str"/>
      <x:c r="K26" s="36" t="str"/>
      <x:c r="L26" s="36" t="str"/>
      <x:c r="M26" s="36" t="str"/>
      <x:c r="N26" s="36" t="str">
        <x:v>Não triado</x:v>
      </x:c>
    </x:row>
    <x:row r="27" ht="64" customHeight="1">
      <x:c r="A27" s="36" t="n">
        <x:v>23</x:v>
      </x:c>
      <x:c r="B27" s="36" t="str"/>
      <x:c r="C27" s="36" t="str"/>
      <x:c r="D27" s="36" t="str"/>
      <x:c r="E27" s="36" t="str"/>
      <x:c r="F27" s="36" t="str"/>
      <x:c r="G27" s="36" t="str"/>
      <x:c r="H27" s="36" t="str"/>
      <x:c r="I27" s="36" t="str"/>
      <x:c r="J27" s="36" t="str"/>
      <x:c r="K27" s="36" t="str"/>
      <x:c r="L27" s="36" t="str"/>
      <x:c r="M27" s="36" t="str"/>
      <x:c r="N27" s="36" t="str">
        <x:v>Não triado</x:v>
      </x:c>
    </x:row>
    <x:row r="28" ht="64" customHeight="1">
      <x:c r="A28" s="36" t="n">
        <x:v>24</x:v>
      </x:c>
      <x:c r="B28" s="36" t="str"/>
      <x:c r="C28" s="36" t="str"/>
      <x:c r="D28" s="36" t="str"/>
      <x:c r="E28" s="36" t="str"/>
      <x:c r="F28" s="36" t="str"/>
      <x:c r="G28" s="36" t="str"/>
      <x:c r="H28" s="36" t="str"/>
      <x:c r="I28" s="36" t="str"/>
      <x:c r="J28" s="36" t="str"/>
      <x:c r="K28" s="36" t="str"/>
      <x:c r="L28" s="36" t="str"/>
      <x:c r="M28" s="36" t="str"/>
      <x:c r="N28" s="36" t="str">
        <x:v>Não triado</x:v>
      </x:c>
    </x:row>
    <x:row r="29" ht="64" customHeight="1">
      <x:c r="A29" s="36" t="n">
        <x:v>25</x:v>
      </x:c>
      <x:c r="B29" s="36" t="str"/>
      <x:c r="C29" s="36" t="str"/>
      <x:c r="D29" s="36" t="str"/>
      <x:c r="E29" s="36" t="str"/>
      <x:c r="F29" s="36" t="str"/>
      <x:c r="G29" s="36" t="str"/>
      <x:c r="H29" s="36" t="str"/>
      <x:c r="I29" s="36" t="str"/>
      <x:c r="J29" s="36" t="str"/>
      <x:c r="K29" s="36" t="str"/>
      <x:c r="L29" s="36" t="str"/>
      <x:c r="M29" s="36" t="str"/>
      <x:c r="N29" s="36" t="str">
        <x:v>Não triado</x:v>
      </x:c>
    </x:row>
    <x:row r="30" ht="64" customHeight="1">
      <x:c r="A30" s="36" t="n">
        <x:v>26</x:v>
      </x:c>
      <x:c r="B30" s="36" t="str"/>
      <x:c r="C30" s="36" t="str"/>
      <x:c r="D30" s="36" t="str"/>
      <x:c r="E30" s="36" t="str"/>
      <x:c r="F30" s="36" t="str"/>
      <x:c r="G30" s="36" t="str"/>
      <x:c r="H30" s="36" t="str"/>
      <x:c r="I30" s="36" t="str"/>
      <x:c r="J30" s="36" t="str"/>
      <x:c r="K30" s="36" t="str"/>
      <x:c r="L30" s="36" t="str"/>
      <x:c r="M30" s="36" t="str"/>
      <x:c r="N30" s="36" t="str">
        <x:v>Não triado</x:v>
      </x:c>
    </x:row>
    <x:row r="31" ht="64" customHeight="1">
      <x:c r="A31" s="36" t="n">
        <x:v>27</x:v>
      </x:c>
      <x:c r="B31" s="36" t="str"/>
      <x:c r="C31" s="36" t="str"/>
      <x:c r="D31" s="36" t="str"/>
      <x:c r="E31" s="36" t="str"/>
      <x:c r="F31" s="36" t="str"/>
      <x:c r="G31" s="36" t="str"/>
      <x:c r="H31" s="36" t="str"/>
      <x:c r="I31" s="36" t="str"/>
      <x:c r="J31" s="36" t="str"/>
      <x:c r="K31" s="36" t="str"/>
      <x:c r="L31" s="36" t="str"/>
      <x:c r="M31" s="36" t="str"/>
      <x:c r="N31" s="36" t="str">
        <x:v>Não triado</x:v>
      </x:c>
    </x:row>
    <x:row r="32" ht="64" customHeight="1">
      <x:c r="A32" s="36" t="n">
        <x:v>28</x:v>
      </x:c>
      <x:c r="B32" s="36" t="str"/>
      <x:c r="C32" s="36" t="str"/>
      <x:c r="D32" s="36" t="str"/>
      <x:c r="E32" s="36" t="str"/>
      <x:c r="F32" s="36" t="str"/>
      <x:c r="G32" s="36" t="str"/>
      <x:c r="H32" s="36" t="str"/>
      <x:c r="I32" s="36" t="str"/>
      <x:c r="J32" s="36" t="str"/>
      <x:c r="K32" s="36" t="str"/>
      <x:c r="L32" s="36" t="str"/>
      <x:c r="M32" s="36" t="str"/>
      <x:c r="N32" s="36" t="str">
        <x:v>Não triado</x:v>
      </x:c>
    </x:row>
    <x:row r="33" ht="64" customHeight="1">
      <x:c r="A33" s="36" t="n">
        <x:v>29</x:v>
      </x:c>
      <x:c r="B33" s="36" t="str"/>
      <x:c r="C33" s="36" t="str"/>
      <x:c r="D33" s="36" t="str"/>
      <x:c r="E33" s="36" t="str"/>
      <x:c r="F33" s="36" t="str"/>
      <x:c r="G33" s="36" t="str"/>
      <x:c r="H33" s="36" t="str"/>
      <x:c r="I33" s="36" t="str"/>
      <x:c r="J33" s="36" t="str"/>
      <x:c r="K33" s="36" t="str"/>
      <x:c r="L33" s="36" t="str"/>
      <x:c r="M33" s="36" t="str"/>
      <x:c r="N33" s="36" t="str">
        <x:v>Não triado</x:v>
      </x:c>
    </x:row>
    <x:row r="34" ht="64" customHeight="1">
      <x:c r="A34" s="36" t="n">
        <x:v>30</x:v>
      </x:c>
      <x:c r="B34" s="36" t="str"/>
      <x:c r="C34" s="36" t="str"/>
      <x:c r="D34" s="36" t="str"/>
      <x:c r="E34" s="36" t="str"/>
      <x:c r="F34" s="36" t="str"/>
      <x:c r="G34" s="36" t="str"/>
      <x:c r="H34" s="36" t="str"/>
      <x:c r="I34" s="36" t="str"/>
      <x:c r="J34" s="36" t="str"/>
      <x:c r="K34" s="36" t="str"/>
      <x:c r="L34" s="36" t="str"/>
      <x:c r="M34" s="36" t="str"/>
      <x:c r="N34" s="36" t="str">
        <x:v>Não triado</x:v>
      </x:c>
    </x:row>
    <x:row r="37">
      <x:c r="A37" s="28" t="str">
        <x:v>Template obrigatório da issue</x:v>
      </x:c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</x:row>
    <x:row r="38">
      <x:c r="A38" s="47" t="str">
        <x:v>Título</x:v>
      </x:c>
      <x:c r="B38" s="36" t="str">
        <x:v>[QA][Tela][P0/P1/P2/P3] Resumo objetivo do defeito</x:v>
      </x:c>
    </x:row>
    <x:row r="39">
      <x:c r="A39" s="47" t="str">
        <x:v>Ambiente</x:v>
      </x:c>
      <x:c r="B39" s="36" t="str">
        <x:v>Commit, versionName/versionCode, APK/trilha, Pixel 10 AVD, API 36, resolução, densidade, modo de navegação, tema, font_scale, rede/permissões.</x:v>
      </x:c>
    </x:row>
    <x:row r="40">
      <x:c r="A40" s="47" t="str">
        <x:v>Testes afetados</x:v>
      </x:c>
      <x:c r="B40" s="36" t="str">
        <x:v>IDs do caderno e status.</x:v>
      </x:c>
    </x:row>
    <x:row r="41">
      <x:c r="A41" s="47" t="str">
        <x:v>Pré-condições</x:v>
      </x:c>
      <x:c r="B41" s="36" t="str">
        <x:v>Estado necessário antes da reprodução.</x:v>
      </x:c>
    </x:row>
    <x:row r="42">
      <x:c r="A42" s="47" t="str">
        <x:v>Passos para reproduzir</x:v>
      </x:c>
      <x:c r="B42" s="36" t="str">
        <x:v>Lista numerada, um toque/ação por passo.</x:v>
      </x:c>
    </x:row>
    <x:row r="43">
      <x:c r="A43" s="47" t="str">
        <x:v>Resultado esperado</x:v>
      </x:c>
      <x:c r="B43" s="36" t="str">
        <x:v>Com base no To-Be e/ou comportamento definido pelo código.</x:v>
      </x:c>
    </x:row>
    <x:row r="44">
      <x:c r="A44" s="47" t="str">
        <x:v>Resultado atual</x:v>
      </x:c>
      <x:c r="B44" s="36" t="str">
        <x:v>O que ocorreu, sem interpretação vaga.</x:v>
      </x:c>
    </x:row>
    <x:row r="45">
      <x:c r="A45" s="47" t="str">
        <x:v>Frequência</x:v>
      </x:c>
      <x:c r="B45" s="36" t="str">
        <x:v>Ex.: 3/3; intermitente 2/5.</x:v>
      </x:c>
    </x:row>
    <x:row r="46">
      <x:c r="A46" s="47" t="str">
        <x:v>Impacto/severidade</x:v>
      </x:c>
      <x:c r="B46" s="36" t="str">
        <x:v>Por que é P0/P1/P2/P3.</x:v>
      </x:c>
    </x:row>
    <x:row r="47">
      <x:c r="A47" s="47" t="str">
        <x:v>Evidências</x:v>
      </x:c>
      <x:c r="B47" s="36" t="str">
        <x:v>Screenshots, vídeo, UI XML, logcat com timestamp e arquivos gerados.</x:v>
      </x:c>
    </x:row>
    <x:row r="48">
      <x:c r="A48" s="47" t="str">
        <x:v>Referências</x:v>
      </x:c>
      <x:c r="B48" s="36" t="str">
        <x:v>Arquivo/componente do Design System, caminho do código, commit/issue relacionada.</x:v>
      </x:c>
    </x:row>
    <x:row r="49">
      <x:c r="A49" s="47" t="str">
        <x:v>Triagem</x:v>
      </x:c>
      <x:c r="B49" s="36" t="str">
        <x:v>Busca de duplicata executada; diferenciar bug, ambiente, massa e gap conhecido.</x:v>
      </x:c>
    </x:row>
  </x:sheetData>
  <x:mergeCells>
    <x:mergeCell ref="A1:N1"/>
    <x:mergeCell ref="A2:N2"/>
    <x:mergeCell ref="A37:N37"/>
  </x:mergeCells>
  <x:conditionalFormatting sqref="N5:N34">
    <x:cfRule type="expression" dxfId="58" priority="1">
      <x:formula>N5="Issue criada"</x:formula>
    </x:cfRule>
    <x:cfRule type="expression" dxfId="59" priority="2">
      <x:formula>N5="Abrir issue"</x:formula>
    </x:cfRule>
  </x:conditionalFormatting>
  <x:dataValidations count="2">
    <x:dataValidation type="list" sqref="E5:E34">
      <x:formula1>"P0,P1,P2,P3"</x:formula1>
    </x:dataValidation>
    <x:dataValidation type="list" sqref="N5:N34">
      <x:formula1>"Não triado,Retestar,Duplicado,Abrir issue,Issue criada,Descartado ambiente,Gap conhecido"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536a19e1194d34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4" hidden="0" customWidth="1"/>
    <x:col min="3" max="3" width="24" hidden="0" customWidth="1"/>
    <x:col min="4" max="4" width="70" hidden="0" customWidth="1"/>
    <x:col min="5" max="5" width="28" hidden="0" customWidth="1"/>
    <x:col min="6" max="6" width="25" hidden="0" customWidth="1"/>
  </x:cols>
  <x:sheetData>
    <x:row r="1">
      <x:c r="A1" s="5" t="str">
        <x:v>Comandos ADB — copiar, executar e guardar evidências</x:v>
      </x:c>
      <x:c r="B1" s="5"/>
      <x:c r="C1" s="5"/>
      <x:c r="D1" s="5"/>
      <x:c r="E1" s="5"/>
      <x:c r="F1" s="5"/>
    </x:row>
    <x:row r="2">
      <x:c r="A2" s="13" t="str">
        <x:v>Ajuste paths para PowerShell/CMD/Linux. Nunca coloque senha, token ou dado pessoal em issue pública.</x:v>
      </x:c>
      <x:c r="B2" s="13"/>
      <x:c r="C2" s="13"/>
      <x:c r="D2" s="13"/>
      <x:c r="E2" s="13"/>
      <x:c r="F2" s="13"/>
    </x:row>
    <x:row r="4">
      <x:c r="A4" s="28" t="str">
        <x:v>Ordem</x:v>
      </x:c>
      <x:c r="B4" s="28" t="str">
        <x:v>Fase</x:v>
      </x:c>
      <x:c r="C4" s="28" t="str">
        <x:v>Objetivo</x:v>
      </x:c>
      <x:c r="D4" s="28" t="str">
        <x:v>Comando</x:v>
      </x:c>
      <x:c r="E4" s="28" t="str">
        <x:v>Saída esperada</x:v>
      </x:c>
      <x:c r="F4" s="28" t="str">
        <x:v>Arquivo/evidência</x:v>
      </x:c>
    </x:row>
    <x:row r="5" ht="54" customHeight="1">
      <x:c r="A5" s="36" t="n">
        <x:v>1</x:v>
      </x:c>
      <x:c r="B5" s="36" t="str">
        <x:v>Setup</x:v>
      </x:c>
      <x:c r="C5" s="36" t="str">
        <x:v>Listar dispositivo</x:v>
      </x:c>
      <x:c r="D5" s="54" t="str">
        <x:v>adb devices -l</x:v>
      </x:c>
      <x:c r="E5" s="36" t="str">
        <x:v>Pixel_10 device</x:v>
      </x:c>
      <x:c r="F5" s="36" t="str">
        <x:v>device.txt</x:v>
      </x:c>
    </x:row>
    <x:row r="6" ht="54" customHeight="1">
      <x:c r="A6" s="36" t="n">
        <x:v>2</x:v>
      </x:c>
      <x:c r="B6" s="36" t="str">
        <x:v>Setup</x:v>
      </x:c>
      <x:c r="C6" s="36" t="str">
        <x:v>API/modelo</x:v>
      </x:c>
      <x:c r="D6" s="54" t="str">
        <x:v>adb shell getprop ro.build.version.sdk &amp;&amp; adb shell getprop ro.product.model</x:v>
      </x:c>
      <x:c r="E6" s="36" t="str">
        <x:v>API 36 / modelo</x:v>
      </x:c>
      <x:c r="F6" s="36" t="str">
        <x:v>device.txt</x:v>
      </x:c>
    </x:row>
    <x:row r="7" ht="54" customHeight="1">
      <x:c r="A7" s="36" t="n">
        <x:v>3</x:v>
      </x:c>
      <x:c r="B7" s="36" t="str">
        <x:v>Setup</x:v>
      </x:c>
      <x:c r="C7" s="36" t="str">
        <x:v>Tamanho</x:v>
      </x:c>
      <x:c r="D7" s="54" t="str">
        <x:v>adb shell wm size</x:v>
      </x:c>
      <x:c r="E7" s="36" t="str">
        <x:v>Physical size</x:v>
      </x:c>
      <x:c r="F7" s="36" t="str">
        <x:v>device.txt + atualizar B15/B16</x:v>
      </x:c>
    </x:row>
    <x:row r="8" ht="54" customHeight="1">
      <x:c r="A8" s="36" t="n">
        <x:v>4</x:v>
      </x:c>
      <x:c r="B8" s="36" t="str">
        <x:v>Setup</x:v>
      </x:c>
      <x:c r="C8" s="36" t="str">
        <x:v>Densidade</x:v>
      </x:c>
      <x:c r="D8" s="54" t="str">
        <x:v>adb shell wm density</x:v>
      </x:c>
      <x:c r="E8" s="36" t="str">
        <x:v>Physical density</x:v>
      </x:c>
      <x:c r="F8" s="36" t="str">
        <x:v>device.txt + atualizar B17</x:v>
      </x:c>
    </x:row>
    <x:row r="9" ht="54" customHeight="1">
      <x:c r="A9" s="36" t="n">
        <x:v>5</x:v>
      </x:c>
      <x:c r="B9" s="36" t="str">
        <x:v>Setup</x:v>
      </x:c>
      <x:c r="C9" s="36" t="str">
        <x:v>Fonte</x:v>
      </x:c>
      <x:c r="D9" s="54" t="str">
        <x:v>adb shell settings get system font_scale</x:v>
      </x:c>
      <x:c r="E9" s="36" t="str">
        <x:v>1.0/1.3/1.5</x:v>
      </x:c>
      <x:c r="F9" s="36" t="str">
        <x:v>device.txt</x:v>
      </x:c>
    </x:row>
    <x:row r="10" ht="54" customHeight="1">
      <x:c r="A10" s="36" t="n">
        <x:v>6</x:v>
      </x:c>
      <x:c r="B10" s="36" t="str">
        <x:v>Git</x:v>
      </x:c>
      <x:c r="C10" s="36" t="str">
        <x:v>Commit</x:v>
      </x:c>
      <x:c r="D10" s="54" t="str">
        <x:v>git rev-parse HEAD &amp;&amp; git status --short</x:v>
      </x:c>
      <x:c r="E10" s="36" t="str">
        <x:v>SHA + status</x:v>
      </x:c>
      <x:c r="F10" s="36" t="str">
        <x:v>environment.txt</x:v>
      </x:c>
    </x:row>
    <x:row r="11" ht="54" customHeight="1">
      <x:c r="A11" s="36" t="n">
        <x:v>7</x:v>
      </x:c>
      <x:c r="B11" s="36" t="str">
        <x:v>APK</x:v>
      </x:c>
      <x:c r="C11" s="36" t="str">
        <x:v>Versão</x:v>
      </x:c>
      <x:c r="D11" s="54" t="str">
        <x:v>adb shell dumpsys package io.signallq.app | grep -E "versionName|versionCode"</x:v>
      </x:c>
      <x:c r="E11" s="36" t="str">
        <x:v>Versões</x:v>
      </x:c>
      <x:c r="F11" s="36" t="str">
        <x:v>environment.txt</x:v>
      </x:c>
    </x:row>
    <x:row r="12" ht="54" customHeight="1">
      <x:c r="A12" s="36" t="n">
        <x:v>8</x:v>
      </x:c>
      <x:c r="B12" s="36" t="str">
        <x:v>Logs</x:v>
      </x:c>
      <x:c r="C12" s="36" t="str">
        <x:v>Limpar</x:v>
      </x:c>
      <x:c r="D12" s="54" t="str">
        <x:v>adb logcat -c</x:v>
      </x:c>
      <x:c r="E12" s="36" t="str">
        <x:v>Sem saída</x:v>
      </x:c>
      <x:c r="F12" s="36" t="str"/>
    </x:row>
    <x:row r="13" ht="54" customHeight="1">
      <x:c r="A13" s="36" t="n">
        <x:v>9</x:v>
      </x:c>
      <x:c r="B13" s="36" t="str">
        <x:v>Logs</x:v>
      </x:c>
      <x:c r="C13" s="36" t="str">
        <x:v>Log completo (Linux/macOS)</x:v>
      </x:c>
      <x:c r="D13" s="54" t="str">
        <x:v>adb logcat -v threadtime &gt; artifacts/logcat_full.txt</x:v>
      </x:c>
      <x:c r="E13" s="36" t="str">
        <x:v>Processo ativo</x:v>
      </x:c>
      <x:c r="F13" s="36" t="str">
        <x:v>logcat_full.txt</x:v>
      </x:c>
    </x:row>
    <x:row r="14" ht="54" customHeight="1">
      <x:c r="A14" s="36" t="n">
        <x:v>10</x:v>
      </x:c>
      <x:c r="B14" s="36" t="str">
        <x:v>Logs</x:v>
      </x:c>
      <x:c r="C14" s="36" t="str">
        <x:v>PID</x:v>
      </x:c>
      <x:c r="D14" s="54" t="str">
        <x:v>adb shell pidof io.signallq.app</x:v>
      </x:c>
      <x:c r="E14" s="36" t="str">
        <x:v>PID</x:v>
      </x:c>
      <x:c r="F14" s="36" t="str">
        <x:v>environment.txt</x:v>
      </x:c>
    </x:row>
    <x:row r="15" ht="54" customHeight="1">
      <x:c r="A15" s="36" t="n">
        <x:v>11</x:v>
      </x:c>
      <x:c r="B15" s="36" t="str">
        <x:v>Logs</x:v>
      </x:c>
      <x:c r="C15" s="36" t="str">
        <x:v>Log do app (Linux/macOS)</x:v>
      </x:c>
      <x:c r="D15" s="54" t="str">
        <x:v>adb logcat --pid=$(adb shell pidof io.signallq.app) -v threadtime &gt; artifacts/logcat_app.txt</x:v>
      </x:c>
      <x:c r="E15" s="36" t="str">
        <x:v>Processo ativo</x:v>
      </x:c>
      <x:c r="F15" s="36" t="str">
        <x:v>logcat_app.txt</x:v>
      </x:c>
    </x:row>
    <x:row r="16" ht="54" customHeight="1">
      <x:c r="A16" s="36" t="n">
        <x:v>12</x:v>
      </x:c>
      <x:c r="B16" s="36" t="str">
        <x:v>App</x:v>
      </x:c>
      <x:c r="C16" s="36" t="str">
        <x:v>Cold start</x:v>
      </x:c>
      <x:c r="D16" s="54" t="str">
        <x:v>adb shell am force-stop io.signallq.app &amp;&amp; adb shell monkey -p io.signallq.app 1</x:v>
      </x:c>
      <x:c r="E16" s="36" t="str">
        <x:v>App aberto</x:v>
      </x:c>
      <x:c r="F16" s="36" t="str">
        <x:v>vídeo/screenshot</x:v>
      </x:c>
    </x:row>
    <x:row r="17" ht="54" customHeight="1">
      <x:c r="A17" s="36" t="n">
        <x:v>13</x:v>
      </x:c>
      <x:c r="B17" s="36" t="str">
        <x:v>Evidência</x:v>
      </x:c>
      <x:c r="C17" s="36" t="str">
        <x:v>Screenshot</x:v>
      </x:c>
      <x:c r="D17" s="54" t="str">
        <x:v>adb exec-out screencap -p &gt; artifacts/TEST-ID.png</x:v>
      </x:c>
      <x:c r="E17" s="36" t="str">
        <x:v>PNG</x:v>
      </x:c>
      <x:c r="F17" s="36" t="str">
        <x:v>TEST-ID.png</x:v>
      </x:c>
    </x:row>
    <x:row r="18" ht="54" customHeight="1">
      <x:c r="A18" s="36" t="n">
        <x:v>14</x:v>
      </x:c>
      <x:c r="B18" s="36" t="str">
        <x:v>Evidência</x:v>
      </x:c>
      <x:c r="C18" s="36" t="str">
        <x:v>UI XML</x:v>
      </x:c>
      <x:c r="D18" s="54" t="str">
        <x:v>adb shell uiautomator dump /sdcard/window.xml &amp;&amp; adb pull /sdcard/window.xml artifacts/TEST-ID.xml</x:v>
      </x:c>
      <x:c r="E18" s="36" t="str">
        <x:v>XML copiado</x:v>
      </x:c>
      <x:c r="F18" s="36" t="str">
        <x:v>TEST-ID.xml</x:v>
      </x:c>
    </x:row>
    <x:row r="19" ht="54" customHeight="1">
      <x:c r="A19" s="36" t="n">
        <x:v>15</x:v>
      </x:c>
      <x:c r="B19" s="36" t="str">
        <x:v>Evidência</x:v>
      </x:c>
      <x:c r="C19" s="36" t="str">
        <x:v>Gravação</x:v>
      </x:c>
      <x:c r="D19" s="54" t="str">
        <x:v>adb shell screenrecord /sdcard/TEST-ID.mp4</x:v>
      </x:c>
      <x:c r="E19" s="36" t="str">
        <x:v>Grava até Ctrl+C/limite</x:v>
      </x:c>
      <x:c r="F19" s="36" t="str">
        <x:v>TEST-ID.mp4</x:v>
      </x:c>
    </x:row>
    <x:row r="20" ht="54" customHeight="1">
      <x:c r="A20" s="36" t="n">
        <x:v>16</x:v>
      </x:c>
      <x:c r="B20" s="36" t="str">
        <x:v>Evidência</x:v>
      </x:c>
      <x:c r="C20" s="36" t="str">
        <x:v>Puxar vídeo</x:v>
      </x:c>
      <x:c r="D20" s="54" t="str">
        <x:v>adb pull /sdcard/TEST-ID.mp4 artifacts/TEST-ID.mp4</x:v>
      </x:c>
      <x:c r="E20" s="36" t="str">
        <x:v>MP4 copiado</x:v>
      </x:c>
      <x:c r="F20" s="36" t="str">
        <x:v>TEST-ID.mp4</x:v>
      </x:c>
    </x:row>
    <x:row r="21" ht="54" customHeight="1">
      <x:c r="A21" s="36" t="n">
        <x:v>17</x:v>
      </x:c>
      <x:c r="B21" s="36" t="str">
        <x:v>Diagnóstico</x:v>
      </x:c>
      <x:c r="C21" s="36" t="str">
        <x:v>Activity atual</x:v>
      </x:c>
      <x:c r="D21" s="54" t="str">
        <x:v>adb shell dumpsys activity activities | grep -m 1 "mResumedActivity"</x:v>
      </x:c>
      <x:c r="E21" s="36" t="str">
        <x:v>Activity/package</x:v>
      </x:c>
      <x:c r="F21" s="36" t="str">
        <x:v>TEST-ID.txt</x:v>
      </x:c>
    </x:row>
    <x:row r="22" ht="54" customHeight="1">
      <x:c r="A22" s="36" t="n">
        <x:v>18</x:v>
      </x:c>
      <x:c r="B22" s="36" t="str">
        <x:v>Diagnóstico</x:v>
      </x:c>
      <x:c r="C22" s="36" t="str">
        <x:v>Janela/insets</x:v>
      </x:c>
      <x:c r="D22" s="54" t="str">
        <x:v>adb shell dumpsys window windows &gt; artifacts/window.txt</x:v>
      </x:c>
      <x:c r="E22" s="36" t="str">
        <x:v>Dump</x:v>
      </x:c>
      <x:c r="F22" s="36" t="str">
        <x:v>window.txt</x:v>
      </x:c>
    </x:row>
    <x:row r="23" ht="54" customHeight="1">
      <x:c r="A23" s="36" t="n">
        <x:v>19</x:v>
      </x:c>
      <x:c r="B23" s="36" t="str">
        <x:v>Permissões</x:v>
      </x:c>
      <x:c r="C23" s="36" t="str">
        <x:v>Listar</x:v>
      </x:c>
      <x:c r="D23" s="54" t="str">
        <x:v>adb shell dumpsys package io.signallq.app | grep -A 40 "runtime permissions"</x:v>
      </x:c>
      <x:c r="E23" s="36" t="str">
        <x:v>Permissões</x:v>
      </x:c>
      <x:c r="F23" s="36" t="str">
        <x:v>permissions.txt</x:v>
      </x:c>
    </x:row>
    <x:row r="24" ht="54" customHeight="1">
      <x:c r="A24" s="36" t="n">
        <x:v>20</x:v>
      </x:c>
      <x:c r="B24" s="36" t="str">
        <x:v>Permissões</x:v>
      </x:c>
      <x:c r="C24" s="36" t="str">
        <x:v>Revogar localização</x:v>
      </x:c>
      <x:c r="D24" s="54" t="str">
        <x:v>adb shell pm revoke io.signallq.app android.permission.ACCESS_FINE_LOCATION</x:v>
      </x:c>
      <x:c r="E24" s="36" t="str">
        <x:v>Permissão revogada</x:v>
      </x:c>
      <x:c r="F24" s="36" t="str"/>
    </x:row>
    <x:row r="25" ht="54" customHeight="1">
      <x:c r="A25" s="36" t="n">
        <x:v>21</x:v>
      </x:c>
      <x:c r="B25" s="36" t="str">
        <x:v>Permissões</x:v>
      </x:c>
      <x:c r="C25" s="36" t="str">
        <x:v>Revogar telefonia</x:v>
      </x:c>
      <x:c r="D25" s="54" t="str">
        <x:v>adb shell pm revoke io.signallq.app android.permission.READ_PHONE_STATE</x:v>
      </x:c>
      <x:c r="E25" s="36" t="str">
        <x:v>Permissão revogada</x:v>
      </x:c>
      <x:c r="F25" s="36" t="str"/>
    </x:row>
    <x:row r="26" ht="54" customHeight="1">
      <x:c r="A26" s="36" t="n">
        <x:v>22</x:v>
      </x:c>
      <x:c r="B26" s="36" t="str">
        <x:v>Permissões</x:v>
      </x:c>
      <x:c r="C26" s="36" t="str">
        <x:v>Revogar notificação</x:v>
      </x:c>
      <x:c r="D26" s="54" t="str">
        <x:v>adb shell pm revoke io.signallq.app android.permission.POST_NOTIFICATIONS</x:v>
      </x:c>
      <x:c r="E26" s="36" t="str">
        <x:v>Permissão revogada</x:v>
      </x:c>
      <x:c r="F26" s="36" t="str"/>
    </x:row>
    <x:row r="27" ht="54" customHeight="1">
      <x:c r="A27" s="36" t="n">
        <x:v>23</x:v>
      </x:c>
      <x:c r="B27" s="36" t="str">
        <x:v>Dados</x:v>
      </x:c>
      <x:c r="C27" s="36" t="str">
        <x:v>Limpar app</x:v>
      </x:c>
      <x:c r="D27" s="54" t="str">
        <x:v>adb shell pm clear io.signallq.app</x:v>
      </x:c>
      <x:c r="E27" s="36" t="str">
        <x:v>Success</x:v>
      </x:c>
      <x:c r="F27" s="36" t="str"/>
    </x:row>
    <x:row r="28" ht="54" customHeight="1">
      <x:c r="A28" s="36" t="n">
        <x:v>24</x:v>
      </x:c>
      <x:c r="B28" s="36" t="str">
        <x:v>Rede</x:v>
      </x:c>
      <x:c r="C28" s="36" t="str">
        <x:v>Modo avião ON</x:v>
      </x:c>
      <x:c r="D28" s="54" t="str">
        <x:v>adb shell cmd connectivity airplane-mode enable</x:v>
      </x:c>
      <x:c r="E28" s="36" t="str">
        <x:v>Modo avião</x:v>
      </x:c>
      <x:c r="F28" s="36" t="str"/>
    </x:row>
    <x:row r="29" ht="54" customHeight="1">
      <x:c r="A29" s="36" t="n">
        <x:v>25</x:v>
      </x:c>
      <x:c r="B29" s="36" t="str">
        <x:v>Rede</x:v>
      </x:c>
      <x:c r="C29" s="36" t="str">
        <x:v>Modo avião OFF</x:v>
      </x:c>
      <x:c r="D29" s="54" t="str">
        <x:v>adb shell cmd connectivity airplane-mode disable</x:v>
      </x:c>
      <x:c r="E29" s="36" t="str">
        <x:v>Rede restaurada</x:v>
      </x:c>
      <x:c r="F29" s="36" t="str"/>
    </x:row>
    <x:row r="30" ht="54" customHeight="1">
      <x:c r="A30" s="36" t="n">
        <x:v>26</x:v>
      </x:c>
      <x:c r="B30" s="36" t="str">
        <x:v>Logs</x:v>
      </x:c>
      <x:c r="C30" s="36" t="str">
        <x:v>Buscar críticos</x:v>
      </x:c>
      <x:c r="D30" s="54" t="str">
        <x:v>grep -Ei "FATAL EXCEPTION|ANR|AndroidRuntime|SecurityException|StrictMode" artifacts/logcat_*.txt</x:v>
      </x:c>
      <x:c r="E30" s="36" t="str">
        <x:v>Nenhum ou recortes</x:v>
      </x:c>
      <x:c r="F30" s="36" t="str">
        <x:v>critical_logs.txt</x:v>
      </x:c>
    </x:row>
    <x:row r="31" ht="54" customHeight="1">
      <x:c r="A31" s="36" t="n">
        <x:v>27</x:v>
      </x:c>
      <x:c r="B31" s="36" t="str">
        <x:v>GitHub</x:v>
      </x:c>
      <x:c r="C31" s="36" t="str">
        <x:v>Pesquisar issue</x:v>
      </x:c>
      <x:c r="D31" s="54" t="str">
        <x:v>gh issue list --repo gmmattey/linka-android --state all --search "&lt;termos do erro&gt;"</x:v>
      </x:c>
      <x:c r="E31" s="36" t="str">
        <x:v>Possíveis duplicatas</x:v>
      </x:c>
      <x:c r="F31" s="36" t="str">
        <x:v>triage.txt</x:v>
      </x:c>
    </x:row>
    <x:row r="32" ht="54" customHeight="1">
      <x:c r="A32" s="36" t="n">
        <x:v>28</x:v>
      </x:c>
      <x:c r="B32" s="36" t="str">
        <x:v>GitHub</x:v>
      </x:c>
      <x:c r="C32" s="36" t="str">
        <x:v>Criar issue</x:v>
      </x:c>
      <x:c r="D32" s="54" t="str">
        <x:v>gh issue create --repo gmmattey/linka-android --title "[QA][Tela][P?] ..." --body-file artifacts/bug_TEST-ID.md</x:v>
      </x:c>
      <x:c r="E32" s="36" t="str">
        <x:v>URL da issue</x:v>
      </x:c>
      <x:c r="F32" s="36" t="str">
        <x:v>Aba 11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72bff9e77d444fb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6" hidden="0" customWidth="1"/>
    <x:col min="3" max="3" width="13" hidden="0" customWidth="1"/>
    <x:col min="4" max="4" width="13" hidden="0" customWidth="1"/>
    <x:col min="5" max="5" width="13" hidden="0" customWidth="1"/>
    <x:col min="6" max="6" width="16" hidden="0" customWidth="1"/>
    <x:col min="7" max="7" width="11" hidden="0" customWidth="1"/>
    <x:col min="8" max="8" width="15" hidden="0" customWidth="1"/>
  </x:cols>
  <x:sheetData>
    <x:row r="1">
      <x:c r="A1" s="5" t="str">
        <x:v>Resumo de execução</x:v>
      </x:c>
      <x:c r="B1" s="5"/>
      <x:c r="C1" s="5"/>
      <x:c r="D1" s="5"/>
      <x:c r="E1" s="5"/>
      <x:c r="F1" s="5"/>
      <x:c r="G1" s="5"/>
      <x:c r="H1" s="5"/>
    </x:row>
    <x:row r="2">
      <x:c r="A2" s="13" t="str">
        <x:v>Atualiza automaticamente conforme a coluna Status das abas de teste. Status de Design System é acompanhado separadamente em 10_Tokens_Design.</x:v>
      </x:c>
      <x:c r="B2" s="13"/>
      <x:c r="C2" s="13"/>
      <x:c r="D2" s="13"/>
      <x:c r="E2" s="13"/>
      <x:c r="F2" s="13"/>
      <x:c r="G2" s="13"/>
      <x:c r="H2" s="13"/>
    </x:row>
    <x:row r="4">
      <x:c r="A4" s="28" t="str">
        <x:v>Indicador</x:v>
      </x:c>
      <x:c r="B4" s="28" t="str">
        <x:v>Valor</x:v>
      </x:c>
    </x:row>
    <x:row r="5">
      <x:c r="A5" s="18" t="str">
        <x:v>Total de casos</x:v>
      </x:c>
      <x:c r="B5" s="58" t="n">
        <x:f>COUNTA('02_Entrada_Global'!$R$5:$R$500)+COUNTA('03_Inicio'!$R$5:$R$500)+COUNTA('04_Velocidade'!$R$5:$R$500)+COUNTA('05_Sinal'!$R$5:$R$500)+COUNTA('06_Historico'!$R$5:$R$500)+COUNTA('07_Perfil_Ferramentas'!$R$5:$R$500)+COUNTA('08_Overlays_Detalhes'!$R$5:$R$500)+COUNTA('09_Fluxos_E2E'!$R$5:$R$500)</x:f>
        <x:v>178</x:v>
      </x:c>
    </x:row>
    <x:row r="6">
      <x:c r="A6" s="18" t="str">
        <x:v>Passou</x:v>
      </x:c>
      <x:c r="B6" s="60" t="n">
        <x:f>COUNTIF('02_Entrada_Global'!$R$5:$R$500,"Passou")+COUNTIF('03_Inicio'!$R$5:$R$500,"Passou")+COUNTIF('04_Velocidade'!$R$5:$R$500,"Passou")+COUNTIF('05_Sinal'!$R$5:$R$500,"Passou")+COUNTIF('06_Historico'!$R$5:$R$500,"Passou")+COUNTIF('07_Perfil_Ferramentas'!$R$5:$R$500,"Passou")+COUNTIF('08_Overlays_Detalhes'!$R$5:$R$500,"Passou")+COUNTIF('09_Fluxos_E2E'!$R$5:$R$500,"Passou")</x:f>
        <x:v>0</x:v>
      </x:c>
    </x:row>
    <x:row r="7">
      <x:c r="A7" s="18" t="str">
        <x:v>Falhou</x:v>
      </x:c>
      <x:c r="B7" s="64" t="n">
        <x:f>COUNTIF('02_Entrada_Global'!$R$5:$R$500,"Falhou")+COUNTIF('03_Inicio'!$R$5:$R$500,"Falhou")+COUNTIF('04_Velocidade'!$R$5:$R$500,"Falhou")+COUNTIF('05_Sinal'!$R$5:$R$500,"Falhou")+COUNTIF('06_Historico'!$R$5:$R$500,"Falhou")+COUNTIF('07_Perfil_Ferramentas'!$R$5:$R$500,"Falhou")+COUNTIF('08_Overlays_Detalhes'!$R$5:$R$500,"Falhou")+COUNTIF('09_Fluxos_E2E'!$R$5:$R$500,"Falhou")</x:f>
        <x:v>0</x:v>
      </x:c>
    </x:row>
    <x:row r="8">
      <x:c r="A8" s="18" t="str">
        <x:v>Bloqueado</x:v>
      </x:c>
      <x:c r="B8" s="68" t="n">
        <x:f>COUNTIF('02_Entrada_Global'!$R$5:$R$500,"Bloqueado")+COUNTIF('03_Inicio'!$R$5:$R$500,"Bloqueado")+COUNTIF('04_Velocidade'!$R$5:$R$500,"Bloqueado")+COUNTIF('05_Sinal'!$R$5:$R$500,"Bloqueado")+COUNTIF('06_Historico'!$R$5:$R$500,"Bloqueado")+COUNTIF('07_Perfil_Ferramentas'!$R$5:$R$500,"Bloqueado")+COUNTIF('08_Overlays_Detalhes'!$R$5:$R$500,"Bloqueado")+COUNTIF('09_Fluxos_E2E'!$R$5:$R$500,"Bloqueado")</x:f>
        <x:v>0</x:v>
      </x:c>
    </x:row>
    <x:row r="9">
      <x:c r="A9" s="18" t="str">
        <x:v>Em execução</x:v>
      </x:c>
      <x:c r="B9" s="58" t="n">
        <x:f>COUNTIF('02_Entrada_Global'!$R$5:$R$500,"Em execução")+COUNTIF('03_Inicio'!$R$5:$R$500,"Em execução")+COUNTIF('04_Velocidade'!$R$5:$R$500,"Em execução")+COUNTIF('05_Sinal'!$R$5:$R$500,"Em execução")+COUNTIF('06_Historico'!$R$5:$R$500,"Em execução")+COUNTIF('07_Perfil_Ferramentas'!$R$5:$R$500,"Em execução")+COUNTIF('08_Overlays_Detalhes'!$R$5:$R$500,"Em execução")+COUNTIF('09_Fluxos_E2E'!$R$5:$R$500,"Em execução")</x:f>
        <x:v>0</x:v>
      </x:c>
    </x:row>
    <x:row r="10">
      <x:c r="A10" s="18" t="str">
        <x:v>Não iniciado</x:v>
      </x:c>
      <x:c r="B10" s="58" t="n">
        <x:f>COUNTIF('02_Entrada_Global'!$R$5:$R$500,"Não iniciado")+COUNTIF('03_Inicio'!$R$5:$R$500,"Não iniciado")+COUNTIF('04_Velocidade'!$R$5:$R$500,"Não iniciado")+COUNTIF('05_Sinal'!$R$5:$R$500,"Não iniciado")+COUNTIF('06_Historico'!$R$5:$R$500,"Não iniciado")+COUNTIF('07_Perfil_Ferramentas'!$R$5:$R$500,"Não iniciado")+COUNTIF('08_Overlays_Detalhes'!$R$5:$R$500,"Não iniciado")+COUNTIF('09_Fluxos_E2E'!$R$5:$R$500,"Não iniciado")</x:f>
        <x:v>178</x:v>
      </x:c>
    </x:row>
    <x:row r="11">
      <x:c r="A11" s="18" t="str">
        <x:v>N/A</x:v>
      </x:c>
      <x:c r="B11" s="58" t="n">
        <x:f>COUNTIF('02_Entrada_Global'!$R$5:$R$500,"N/A")+COUNTIF('03_Inicio'!$R$5:$R$500,"N/A")+COUNTIF('04_Velocidade'!$R$5:$R$500,"N/A")+COUNTIF('05_Sinal'!$R$5:$R$500,"N/A")+COUNTIF('06_Historico'!$R$5:$R$500,"N/A")+COUNTIF('07_Perfil_Ferramentas'!$R$5:$R$500,"N/A")+COUNTIF('08_Overlays_Detalhes'!$R$5:$R$500,"N/A")+COUNTIF('09_Fluxos_E2E'!$R$5:$R$500,"N/A")</x:f>
        <x:v>0</x:v>
      </x:c>
    </x:row>
    <x:row r="12">
      <x:c r="A12" s="18" t="str">
        <x:v>% concluído</x:v>
      </x:c>
      <x:c r="B12" s="56" t="n">
        <x:f>IF(B5=0,0,(B6+B7+B8+B11)/B5)</x:f>
        <x:v>0</x:v>
      </x:c>
    </x:row>
    <x:row r="13">
      <x:c r="A13" s="18" t="str">
        <x:v>% aprovação (executados)</x:v>
      </x:c>
      <x:c r="B13" s="56" t="n">
        <x:f>IF((B6+B7)=0,0,B6/(B6+B7))</x:f>
        <x:v>0</x:v>
      </x:c>
    </x:row>
    <x:row r="16">
      <x:c r="A16" s="28" t="str">
        <x:v>Grupo de testes</x:v>
      </x:c>
      <x:c r="B16" s="28" t="str">
        <x:v>Total</x:v>
      </x:c>
      <x:c r="C16" s="28" t="str">
        <x:v>Passou</x:v>
      </x:c>
      <x:c r="D16" s="28" t="str">
        <x:v>Falhou</x:v>
      </x:c>
      <x:c r="E16" s="28" t="str">
        <x:v>Bloqueado</x:v>
      </x:c>
      <x:c r="F16" s="28" t="str">
        <x:v>Não iniciado</x:v>
      </x:c>
      <x:c r="G16" s="28" t="str">
        <x:v>N/A</x:v>
      </x:c>
      <x:c r="H16" s="28" t="str">
        <x:v>% aprovação</x:v>
      </x:c>
    </x:row>
    <x:row r="17">
      <x:c r="A17" s="36" t="str">
        <x:v>Entrada, ambiente, onboarding e regras globais</x:v>
      </x:c>
      <x:c r="B17" s="36" t="n">
        <x:f>COUNTA('02_Entrada_Global'!$R$5:$R$500)</x:f>
        <x:v>27</x:v>
      </x:c>
      <x:c r="C17" s="36" t="n">
        <x:f>COUNTIF('02_Entrada_Global'!$R$5:$R$500,"Passou")</x:f>
        <x:v>0</x:v>
      </x:c>
      <x:c r="D17" s="36" t="n">
        <x:f>COUNTIF('02_Entrada_Global'!$R$5:$R$500,"Falhou")</x:f>
        <x:v>0</x:v>
      </x:c>
      <x:c r="E17" s="36" t="n">
        <x:f>COUNTIF('02_Entrada_Global'!$R$5:$R$500,"Bloqueado")</x:f>
        <x:v>0</x:v>
      </x:c>
      <x:c r="F17" s="36" t="n">
        <x:f>COUNTIF('02_Entrada_Global'!$R$5:$R$500,"Não iniciado")</x:f>
        <x:v>27</x:v>
      </x:c>
      <x:c r="G17" s="36" t="n">
        <x:f>COUNTIF('02_Entrada_Global'!$R$5:$R$500,"N/A")</x:f>
        <x:v>0</x:v>
      </x:c>
      <x:c r="H17" s="71" t="n">
        <x:f>IF((C17+D17)=0,0,C17/(C17+D17))</x:f>
        <x:v>0</x:v>
      </x:c>
    </x:row>
    <x:row r="18">
      <x:c r="A18" s="36" t="str">
        <x:v>Tela Início e componentes relacionados</x:v>
      </x:c>
      <x:c r="B18" s="36" t="n">
        <x:f>COUNTA('03_Inicio'!$R$5:$R$500)</x:f>
        <x:v>21</x:v>
      </x:c>
      <x:c r="C18" s="36" t="n">
        <x:f>COUNTIF('03_Inicio'!$R$5:$R$500,"Passou")</x:f>
        <x:v>0</x:v>
      </x:c>
      <x:c r="D18" s="36" t="n">
        <x:f>COUNTIF('03_Inicio'!$R$5:$R$500,"Falhou")</x:f>
        <x:v>0</x:v>
      </x:c>
      <x:c r="E18" s="36" t="n">
        <x:f>COUNTIF('03_Inicio'!$R$5:$R$500,"Bloqueado")</x:f>
        <x:v>0</x:v>
      </x:c>
      <x:c r="F18" s="36" t="n">
        <x:f>COUNTIF('03_Inicio'!$R$5:$R$500,"Não iniciado")</x:f>
        <x:v>21</x:v>
      </x:c>
      <x:c r="G18" s="36" t="n">
        <x:f>COUNTIF('03_Inicio'!$R$5:$R$500,"N/A")</x:f>
        <x:v>0</x:v>
      </x:c>
      <x:c r="H18" s="71" t="n">
        <x:f>IF((C18+D18)=0,0,C18/(C18+D18))</x:f>
        <x:v>0</x:v>
      </x:c>
    </x:row>
    <x:row r="19">
      <x:c r="A19" s="36" t="str">
        <x:v>Velocidade, execução e resultado</x:v>
      </x:c>
      <x:c r="B19" s="36" t="n">
        <x:f>COUNTA('04_Velocidade'!$R$5:$R$500)</x:f>
        <x:v>24</x:v>
      </x:c>
      <x:c r="C19" s="36" t="n">
        <x:f>COUNTIF('04_Velocidade'!$R$5:$R$500,"Passou")</x:f>
        <x:v>0</x:v>
      </x:c>
      <x:c r="D19" s="36" t="n">
        <x:f>COUNTIF('04_Velocidade'!$R$5:$R$500,"Falhou")</x:f>
        <x:v>0</x:v>
      </x:c>
      <x:c r="E19" s="36" t="n">
        <x:f>COUNTIF('04_Velocidade'!$R$5:$R$500,"Bloqueado")</x:f>
        <x:v>0</x:v>
      </x:c>
      <x:c r="F19" s="36" t="n">
        <x:f>COUNTIF('04_Velocidade'!$R$5:$R$500,"Não iniciado")</x:f>
        <x:v>24</x:v>
      </x:c>
      <x:c r="G19" s="36" t="n">
        <x:f>COUNTIF('04_Velocidade'!$R$5:$R$500,"N/A")</x:f>
        <x:v>0</x:v>
      </x:c>
      <x:c r="H19" s="71" t="n">
        <x:f>IF((C19+D19)=0,0,C19/(C19+D19))</x:f>
        <x:v>0</x:v>
      </x:c>
    </x:row>
    <x:row r="20">
      <x:c r="A20" s="36" t="str">
        <x:v>Sinal Wi-Fi, canais, móvel e topologia</x:v>
      </x:c>
      <x:c r="B20" s="36" t="n">
        <x:f>COUNTA('05_Sinal'!$R$5:$R$500)</x:f>
        <x:v>21</x:v>
      </x:c>
      <x:c r="C20" s="36" t="n">
        <x:f>COUNTIF('05_Sinal'!$R$5:$R$500,"Passou")</x:f>
        <x:v>0</x:v>
      </x:c>
      <x:c r="D20" s="36" t="n">
        <x:f>COUNTIF('05_Sinal'!$R$5:$R$500,"Falhou")</x:f>
        <x:v>0</x:v>
      </x:c>
      <x:c r="E20" s="36" t="n">
        <x:f>COUNTIF('05_Sinal'!$R$5:$R$500,"Bloqueado")</x:f>
        <x:v>0</x:v>
      </x:c>
      <x:c r="F20" s="36" t="n">
        <x:f>COUNTIF('05_Sinal'!$R$5:$R$500,"Não iniciado")</x:f>
        <x:v>21</x:v>
      </x:c>
      <x:c r="G20" s="36" t="n">
        <x:f>COUNTIF('05_Sinal'!$R$5:$R$500,"N/A")</x:f>
        <x:v>0</x:v>
      </x:c>
      <x:c r="H20" s="71" t="n">
        <x:f>IF((C20+D20)=0,0,C20/(C20+D20))</x:f>
        <x:v>0</x:v>
      </x:c>
    </x:row>
    <x:row r="21">
      <x:c r="A21" s="36" t="str">
        <x:v>Histórico, filtros, detalhes e exportação</x:v>
      </x:c>
      <x:c r="B21" s="36" t="n">
        <x:f>COUNTA('06_Historico'!$R$5:$R$500)</x:f>
        <x:v>15</x:v>
      </x:c>
      <x:c r="C21" s="36" t="n">
        <x:f>COUNTIF('06_Historico'!$R$5:$R$500,"Passou")</x:f>
        <x:v>0</x:v>
      </x:c>
      <x:c r="D21" s="36" t="n">
        <x:f>COUNTIF('06_Historico'!$R$5:$R$500,"Falhou")</x:f>
        <x:v>0</x:v>
      </x:c>
      <x:c r="E21" s="36" t="n">
        <x:f>COUNTIF('06_Historico'!$R$5:$R$500,"Bloqueado")</x:f>
        <x:v>0</x:v>
      </x:c>
      <x:c r="F21" s="36" t="n">
        <x:f>COUNTIF('06_Historico'!$R$5:$R$500,"Não iniciado")</x:f>
        <x:v>15</x:v>
      </x:c>
      <x:c r="G21" s="36" t="n">
        <x:f>COUNTIF('06_Historico'!$R$5:$R$500,"N/A")</x:f>
        <x:v>0</x:v>
      </x:c>
      <x:c r="H21" s="71" t="n">
        <x:f>IF((C21+D21)=0,0,C21/(C21+D21))</x:f>
        <x:v>0</x:v>
      </x:c>
    </x:row>
    <x:row r="22">
      <x:c r="A22" s="36" t="str">
        <x:v>Perfil/Ajustes e hub Ferramentas</x:v>
      </x:c>
      <x:c r="B22" s="36" t="n">
        <x:f>COUNTA('07_Perfil_Ferramentas'!$R$5:$R$500)</x:f>
        <x:v>24</x:v>
      </x:c>
      <x:c r="C22" s="36" t="n">
        <x:f>COUNTIF('07_Perfil_Ferramentas'!$R$5:$R$500,"Passou")</x:f>
        <x:v>0</x:v>
      </x:c>
      <x:c r="D22" s="36" t="n">
        <x:f>COUNTIF('07_Perfil_Ferramentas'!$R$5:$R$500,"Falhou")</x:f>
        <x:v>0</x:v>
      </x:c>
      <x:c r="E22" s="36" t="n">
        <x:f>COUNTIF('07_Perfil_Ferramentas'!$R$5:$R$500,"Bloqueado")</x:f>
        <x:v>0</x:v>
      </x:c>
      <x:c r="F22" s="36" t="n">
        <x:f>COUNTIF('07_Perfil_Ferramentas'!$R$5:$R$500,"Não iniciado")</x:f>
        <x:v>24</x:v>
      </x:c>
      <x:c r="G22" s="36" t="n">
        <x:f>COUNTIF('07_Perfil_Ferramentas'!$R$5:$R$500,"N/A")</x:f>
        <x:v>0</x:v>
      </x:c>
      <x:c r="H22" s="71" t="n">
        <x:f>IF((C22+D22)=0,0,C22/(C22+D22))</x:f>
        <x:v>0</x:v>
      </x:c>
    </x:row>
    <x:row r="23">
      <x:c r="A23" s="36" t="str">
        <x:v>Telas sobrepostas, detalhes e estados de erro</x:v>
      </x:c>
      <x:c r="B23" s="36" t="n">
        <x:f>COUNTA('08_Overlays_Detalhes'!$R$5:$R$500)</x:f>
        <x:v>32</x:v>
      </x:c>
      <x:c r="C23" s="36" t="n">
        <x:f>COUNTIF('08_Overlays_Detalhes'!$R$5:$R$500,"Passou")</x:f>
        <x:v>0</x:v>
      </x:c>
      <x:c r="D23" s="36" t="n">
        <x:f>COUNTIF('08_Overlays_Detalhes'!$R$5:$R$500,"Falhou")</x:f>
        <x:v>0</x:v>
      </x:c>
      <x:c r="E23" s="36" t="n">
        <x:f>COUNTIF('08_Overlays_Detalhes'!$R$5:$R$500,"Bloqueado")</x:f>
        <x:v>0</x:v>
      </x:c>
      <x:c r="F23" s="36" t="n">
        <x:f>COUNTIF('08_Overlays_Detalhes'!$R$5:$R$500,"Não iniciado")</x:f>
        <x:v>32</x:v>
      </x:c>
      <x:c r="G23" s="36" t="n">
        <x:f>COUNTIF('08_Overlays_Detalhes'!$R$5:$R$500,"N/A")</x:f>
        <x:v>0</x:v>
      </x:c>
      <x:c r="H23" s="71" t="n">
        <x:f>IF((C23+D23)=0,0,C23/(C23+D23))</x:f>
        <x:v>0</x:v>
      </x:c>
    </x:row>
    <x:row r="24">
      <x:c r="A24" s="36" t="str">
        <x:v>Jornadas completas e regressão cruzada</x:v>
      </x:c>
      <x:c r="B24" s="36" t="n">
        <x:f>COUNTA('09_Fluxos_E2E'!$R$5:$R$500)</x:f>
        <x:v>14</x:v>
      </x:c>
      <x:c r="C24" s="36" t="n">
        <x:f>COUNTIF('09_Fluxos_E2E'!$R$5:$R$500,"Passou")</x:f>
        <x:v>0</x:v>
      </x:c>
      <x:c r="D24" s="36" t="n">
        <x:f>COUNTIF('09_Fluxos_E2E'!$R$5:$R$500,"Falhou")</x:f>
        <x:v>0</x:v>
      </x:c>
      <x:c r="E24" s="36" t="n">
        <x:f>COUNTIF('09_Fluxos_E2E'!$R$5:$R$500,"Bloqueado")</x:f>
        <x:v>0</x:v>
      </x:c>
      <x:c r="F24" s="36" t="n">
        <x:f>COUNTIF('09_Fluxos_E2E'!$R$5:$R$500,"Não iniciado")</x:f>
        <x:v>14</x:v>
      </x:c>
      <x:c r="G24" s="36" t="n">
        <x:f>COUNTIF('09_Fluxos_E2E'!$R$5:$R$500,"N/A")</x:f>
        <x:v>0</x:v>
      </x:c>
      <x:c r="H24" s="71" t="n">
        <x:f>IF((C24+D24)=0,0,C24/(C24+D24))</x:f>
        <x:v>0</x:v>
      </x:c>
    </x:row>
    <x:row r="29">
      <x:c r="A29" s="28" t="str">
        <x:v>Gate sugerido de aceite</x:v>
      </x:c>
      <x:c r="B29" s="28"/>
      <x:c r="C29" s="28"/>
      <x:c r="D29" s="28"/>
      <x:c r="E29" s="28"/>
      <x:c r="F29" s="28"/>
      <x:c r="G29" s="28"/>
      <x:c r="H29" s="28"/>
    </x:row>
    <x:row r="30">
      <x:c r="A30" s="47" t="str">
        <x:v>P0</x:v>
      </x:c>
      <x:c r="B30" s="36" t="str">
        <x:v>100% executado; 0 Falhou/Bloqueado sem decisão formal.</x:v>
      </x:c>
      <x:c r="C30" s="36" t="str"/>
    </x:row>
    <x:row r="31">
      <x:c r="A31" s="47" t="str">
        <x:v>P1</x:v>
      </x:c>
      <x:c r="B31" s="36" t="str">
        <x:v>&gt;=95% executado; 0 falha que impeça fluxo principal.</x:v>
      </x:c>
      <x:c r="C31" s="36" t="str"/>
    </x:row>
    <x:row r="32">
      <x:c r="A32" s="47" t="str">
        <x:v>Design tokens</x:v>
      </x:c>
      <x:c r="B32" s="36" t="str">
        <x:v>P0 todos Passou; divergências P1 triadas.</x:v>
      </x:c>
      <x:c r="C32" s="36" t="str"/>
    </x:row>
    <x:row r="33">
      <x:c r="A33" s="47" t="str">
        <x:v>Confiabilidade</x:v>
      </x:c>
      <x:c r="B33" s="36" t="str">
        <x:v>0 crash, 0 ANR, 0 vazamento de credencial.</x:v>
      </x:c>
      <x:c r="C33" s="36" t="str"/>
    </x:row>
    <x:row r="34">
      <x:c r="A34" s="47" t="str">
        <x:v>Navegação</x:v>
      </x:c>
      <x:c r="B34" s="36" t="str">
        <x:v>Todos os destinos e backs P0 Passou.</x:v>
      </x:c>
      <x:c r="C34" s="36" t="str"/>
    </x:row>
    <x:row r="35">
      <x:c r="A35" s="47" t="str">
        <x:v>Issues</x:v>
      </x:c>
      <x:c r="B35" s="36" t="str">
        <x:v>Toda falha reproduzível tem issue/duplicata vinculada.</x:v>
      </x:c>
      <x:c r="C35" s="36" t="str"/>
    </x:row>
  </x:sheetData>
  <x:mergeCells>
    <x:mergeCell ref="A1:H1"/>
    <x:mergeCell ref="A2:H2"/>
    <x:mergeCell ref="A29:H29"/>
  </x:mergeCells>
  <x:conditionalFormatting sqref="D17:D24">
    <x:cfRule type="dataBar" priority="1">
      <x:dataBar>
        <x:cfvo type="min"/>
        <x:cfvo type="max"/>
        <x:color rgb="FFBA1A1A"/>
      </x:dataBar>
      <x:extLst>
        <x:ext xmlns:x14="http://schemas.microsoft.com/office/spreadsheetml/2009/9/main" uri="{B025F937-C7B1-47D3-B67F-A62EFF666E3E}">
          <x14:id>{81800690-249A-0CDF-73E3-599E86CF33FB}</x14:id>
        </x:ext>
      </x:extLst>
    </x:cfRule>
  </x:conditionalFormatting>
  <x:conditionalFormatting sqref="C17:C24">
    <x:cfRule type="dataBar" priority="2">
      <x:dataBar>
        <x:cfvo type="min"/>
        <x:cfvo type="max"/>
        <x:color rgb="FF146C2E"/>
      </x:dataBar>
      <x:extLst>
        <x:ext xmlns:x14="http://schemas.microsoft.com/office/spreadsheetml/2009/9/main" uri="{B025F937-C7B1-47D3-B67F-A62EFF666E3E}">
          <x14:id>{DA7EFC9F-3AE0-4043-ABD6-009A85FD1ACB}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474a27238c8745b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81800690-249A-0CDF-73E3-599E86CF33FB}">
            <x14:dataBar gradient="1">
              <x14:cfvo type="min"/>
              <x14:cfvo type="max"/>
              <x14:fillColor rgb="FFBA1A1A"/>
            </x14:dataBar>
          </x14:cfRule>
          <xm:sqref>D17:D24</xm:sqref>
        </x14:conditionalFormatting>
        <x14:conditionalFormatting>
          <x14:cfRule type="dataBar" priority="2" id="{DA7EFC9F-3AE0-4043-ABD6-009A85FD1ACB}">
            <x14:dataBar gradient="1">
              <x14:cfvo type="min"/>
              <x14:cfvo type="max"/>
              <x14:fillColor rgb="FF146C2E"/>
            </x14:dataBar>
          </x14:cfRule>
          <xm:sqref>C17:C24</xm:sqref>
        </x14:conditionalFormatting>
      </x14:conditionalFormattings>
    </x:ext>
  </x:extLst>
</x:worksheet>
</file>